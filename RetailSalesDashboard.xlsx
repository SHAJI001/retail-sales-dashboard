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Zahara\Desktop\"/>
    </mc:Choice>
  </mc:AlternateContent>
  <xr:revisionPtr revIDLastSave="0" documentId="13_ncr:1_{6C166A22-A6BC-44A6-81CF-6066C5B6F5D1}" xr6:coauthVersionLast="47" xr6:coauthVersionMax="47" xr10:uidLastSave="{00000000-0000-0000-0000-000000000000}"/>
  <bookViews>
    <workbookView xWindow="-120" yWindow="-120" windowWidth="29040" windowHeight="15720" activeTab="1" xr2:uid="{83B47869-EAC3-4667-8782-BE856CD3B681}"/>
  </bookViews>
  <sheets>
    <sheet name="RetailSalesData" sheetId="1" r:id="rId1"/>
    <sheet name="Dashboard" sheetId="5" r:id="rId2"/>
    <sheet name="PT_Region" sheetId="2" r:id="rId3"/>
    <sheet name="PT_Category" sheetId="3" r:id="rId4"/>
    <sheet name="PT_Month" sheetId="4" r:id="rId5"/>
  </sheets>
  <definedNames>
    <definedName name="Slicer_Category">#N/A</definedName>
    <definedName name="Slicer_Region">#N/A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2" i="1"/>
  <c r="B3" i="5"/>
  <c r="C3" i="5"/>
  <c r="D3" i="5" l="1"/>
</calcChain>
</file>

<file path=xl/sharedStrings.xml><?xml version="1.0" encoding="utf-8"?>
<sst xmlns="http://schemas.openxmlformats.org/spreadsheetml/2006/main" count="187" uniqueCount="37">
  <si>
    <t>OrderID</t>
  </si>
  <si>
    <t>OrderDate</t>
  </si>
  <si>
    <t>Region</t>
  </si>
  <si>
    <t>Category</t>
  </si>
  <si>
    <t>SubCategory</t>
  </si>
  <si>
    <t>Sales</t>
  </si>
  <si>
    <t>Quantity</t>
  </si>
  <si>
    <t>Profit</t>
  </si>
  <si>
    <t>East</t>
  </si>
  <si>
    <t>Furniture</t>
  </si>
  <si>
    <t>Chairs</t>
  </si>
  <si>
    <t>West</t>
  </si>
  <si>
    <t>Technology</t>
  </si>
  <si>
    <t>Phones</t>
  </si>
  <si>
    <t>South</t>
  </si>
  <si>
    <t>Office Supplies</t>
  </si>
  <si>
    <t>Binders</t>
  </si>
  <si>
    <t>Central</t>
  </si>
  <si>
    <t>Tables</t>
  </si>
  <si>
    <t>Laptops</t>
  </si>
  <si>
    <t>Bookcases</t>
  </si>
  <si>
    <t>Paper</t>
  </si>
  <si>
    <t>Accessories</t>
  </si>
  <si>
    <t>Month</t>
  </si>
  <si>
    <t>Year</t>
  </si>
  <si>
    <t>Row Labels</t>
  </si>
  <si>
    <t>Grand Total</t>
  </si>
  <si>
    <t>Sum of Sales</t>
  </si>
  <si>
    <t>Sum of Profit</t>
  </si>
  <si>
    <t>Jan</t>
  </si>
  <si>
    <t>Feb</t>
  </si>
  <si>
    <t>Mar</t>
  </si>
  <si>
    <t>(All)</t>
  </si>
  <si>
    <t>Retail Sales Performance Dashboard</t>
  </si>
  <si>
    <t>Total Sales</t>
  </si>
  <si>
    <t>Total Profit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</si>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</sst>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5" x14ac:knownFonts="1">
    <font>
      <sz val="11"/>
      <color theme="1"/>
      <name val="Aptos Narrow"/>
      <family val="2"/>
      <scheme val="minor"/>
    </font>
    <font>
      <sz val="11"/>
      <color theme="1"/>
      <name val="Aptos Narrow"/>
      <family val="2"/>
      <scheme val="minor"/>
    </font>
    <font>
      <b/>
      <sz val="24"/>
      <color theme="1"/>
      <name val="Aptos Narrow"/>
      <family val="2"/>
      <scheme val="minor"/>
    </font>
    <font>
      <b/>
      <sz val="11"/>
      <color theme="1"/>
      <name val="Aptos Narrow"/>
      <family val="2"/>
      <scheme val="minor"/>
    </font>
    <font>
      <sz val="18"/>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4" fillId="2" borderId="1" xfId="0" applyNumberFormat="1" applyFont="1" applyFill="1" applyBorder="1"/>
    <xf numFmtId="9" fontId="4" fillId="2" borderId="1" xfId="1" applyFont="1" applyFill="1" applyBorder="1"/>
    <xf numFmtId="0" fontId="0" fillId="3" borderId="0" xfId="0" applyFill="1"/>
    <xf numFmtId="0" fontId="3" fillId="3" borderId="1" xfId="0" applyFont="1" applyFill="1" applyBorder="1" applyAlignment="1">
      <alignment horizontal="center"/>
    </xf>
    <xf numFmtId="0" fontId="2" fillId="3" borderId="0" xfId="0" applyFont="1" applyFill="1" applyAlignment="1">
      <alignment horizontal="center"/>
    </xf>
  </cellXfs>
  <cellStyles count="2">
    <cellStyle name="Normal" xfId="0" builtinId="0"/>
    <cellStyle name="Percent" xfId="1" builtinId="5"/>
  </cellStyles>
  <dxfs count="9">
    <dxf>
      <numFmt numFmtId="164" formatCode="&quot;$&quot;#,##0"/>
    </dxf>
    <dxf>
      <numFmt numFmtId="164" formatCode="&quot;$&quot;#,##0"/>
    </dxf>
    <dxf>
      <numFmt numFmtId="164" formatCode="&quot;$&quot;#,##0"/>
    </dxf>
    <dxf>
      <numFmt numFmtId="164" formatCode="&quot;$&quot;#,##0"/>
    </dxf>
    <dxf>
      <numFmt numFmtId="164" formatCode="&quot;$&quot;#,##0"/>
    </dxf>
    <dxf>
      <numFmt numFmtId="19" formatCode="m/d/yyyy"/>
    </dxf>
    <dxf>
      <border diagonalUp="0" diagonalDown="0">
        <left/>
        <right/>
        <top/>
        <bottom/>
        <vertical/>
        <horizontal/>
      </border>
    </dxf>
    <dxf>
      <border diagonalUp="0" diagonalDown="0">
        <left/>
        <right/>
        <top/>
        <bottom/>
        <vertical/>
        <horizontal/>
      </border>
    </dxf>
    <dxf>
      <border diagonalUp="0" diagonalDown="0">
        <left/>
        <right/>
        <top/>
        <bottom/>
        <vertical/>
        <horizontal/>
      </border>
    </dxf>
  </dxfs>
  <tableStyles count="3" defaultTableStyle="TableStyleMedium2" defaultPivotStyle="PivotStyleLight16">
    <tableStyle name="Slicer Style 1" pivot="0" table="0" count="1" xr9:uid="{259D971E-54A2-47F8-AE12-0446C22683E8}">
      <tableStyleElement type="wholeTable" dxfId="8"/>
    </tableStyle>
    <tableStyle name="Slicer Style 2" pivot="0" table="0" count="1" xr9:uid="{B8157BA3-FC75-4556-A9BA-39CB33139A59}">
      <tableStyleElement type="wholeTable" dxfId="7"/>
    </tableStyle>
    <tableStyle name="Slicer Style 3" pivot="0" table="0" count="1" xr9:uid="{22466E6B-D27E-4B81-B6AC-BCE12DCD53EB}">
      <tableStyleElement type="wholeTable" dxfId="6"/>
    </tableStyle>
  </tableStyles>
  <colors>
    <mruColors>
      <color rgb="FFDADADA"/>
      <color rgb="FFF9F9F9"/>
      <color rgb="FFD9D9D9"/>
      <color rgb="FFF2F2F2"/>
    </mruColors>
  </colors>
  <extLst>
    <ext xmlns:x14="http://schemas.microsoft.com/office/spreadsheetml/2009/9/main" uri="{EB79DEF2-80B8-43e5-95BD-54CBDDF9020C}">
      <x14:slicerStyles defaultSlicerStyle="Slicer Style 3">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[RetailSalesDashboard_Final.xlsx.xlsx]PT_Region!PivotTable1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PT_Region!$B$3</c:f>
              <c:strCache>
                <c:ptCount val="1"/>
                <c:pt idx="0">
                  <c:v>Sum of Sales</c:v>
                </c:pt>
              </c:strCache>
            </c:strRef>
          </c:tx>
          <c:spPr>
            <a:solidFill>
              <a:schemeClr val="accent1"/>
            </a:solidFill>
            <a:ln>
              <a:noFill/>
            </a:ln>
            <a:effectLst/>
          </c:spPr>
          <c:invertIfNegative val="0"/>
          <c:cat>
            <c:strRef>
              <c:f>PT_Region!$A$4:$A$8</c:f>
              <c:strCache>
                <c:ptCount val="4"/>
                <c:pt idx="0">
                  <c:v>Central</c:v>
                </c:pt>
                <c:pt idx="1">
                  <c:v>East</c:v>
                </c:pt>
                <c:pt idx="2">
                  <c:v>South</c:v>
                </c:pt>
                <c:pt idx="3">
                  <c:v>West</c:v>
                </c:pt>
              </c:strCache>
            </c:strRef>
          </c:cat>
          <c:val>
            <c:numRef>
              <c:f>PT_Region!$B$4:$B$8</c:f>
              <c:numCache>
                <c:formatCode>"$"#,##0</c:formatCode>
                <c:ptCount val="4"/>
                <c:pt idx="0">
                  <c:v>3345</c:v>
                </c:pt>
                <c:pt idx="1">
                  <c:v>9853.5</c:v>
                </c:pt>
                <c:pt idx="2">
                  <c:v>2019.8</c:v>
                </c:pt>
                <c:pt idx="3">
                  <c:v>6035.5</c:v>
                </c:pt>
              </c:numCache>
            </c:numRef>
          </c:val>
          <c:extLst>
            <c:ext xmlns:c16="http://schemas.microsoft.com/office/drawing/2014/chart" uri="{C3380CC4-5D6E-409C-BE32-E72D297353CC}">
              <c16:uniqueId val="{00000000-B41F-4486-A7FB-C391EC028755}"/>
            </c:ext>
          </c:extLst>
        </c:ser>
        <c:ser>
          <c:idx val="1"/>
          <c:order val="1"/>
          <c:tx>
            <c:strRef>
              <c:f>PT_Region!$C$3</c:f>
              <c:strCache>
                <c:ptCount val="1"/>
                <c:pt idx="0">
                  <c:v>Sum of Profit</c:v>
                </c:pt>
              </c:strCache>
            </c:strRef>
          </c:tx>
          <c:spPr>
            <a:noFill/>
            <a:ln>
              <a:noFill/>
            </a:ln>
            <a:effectLst/>
          </c:spPr>
          <c:invertIfNegative val="0"/>
          <c:cat>
            <c:strRef>
              <c:f>PT_Region!$A$4:$A$8</c:f>
              <c:strCache>
                <c:ptCount val="4"/>
                <c:pt idx="0">
                  <c:v>Central</c:v>
                </c:pt>
                <c:pt idx="1">
                  <c:v>East</c:v>
                </c:pt>
                <c:pt idx="2">
                  <c:v>South</c:v>
                </c:pt>
                <c:pt idx="3">
                  <c:v>West</c:v>
                </c:pt>
              </c:strCache>
            </c:strRef>
          </c:cat>
          <c:val>
            <c:numRef>
              <c:f>PT_Region!$C$4:$C$8</c:f>
              <c:numCache>
                <c:formatCode>"$"#,##0</c:formatCode>
                <c:ptCount val="4"/>
                <c:pt idx="0">
                  <c:v>-107.5</c:v>
                </c:pt>
                <c:pt idx="1">
                  <c:v>2480</c:v>
                </c:pt>
                <c:pt idx="2">
                  <c:v>406.3</c:v>
                </c:pt>
                <c:pt idx="3">
                  <c:v>1602.9</c:v>
                </c:pt>
              </c:numCache>
            </c:numRef>
          </c:val>
          <c:extLst>
            <c:ext xmlns:c16="http://schemas.microsoft.com/office/drawing/2014/chart" uri="{C3380CC4-5D6E-409C-BE32-E72D297353CC}">
              <c16:uniqueId val="{00000001-B41F-4486-A7FB-C391EC028755}"/>
            </c:ext>
          </c:extLst>
        </c:ser>
        <c:dLbls>
          <c:showLegendKey val="0"/>
          <c:showVal val="0"/>
          <c:showCatName val="0"/>
          <c:showSerName val="0"/>
          <c:showPercent val="0"/>
          <c:showBubbleSize val="0"/>
        </c:dLbls>
        <c:gapWidth val="219"/>
        <c:overlap val="-27"/>
        <c:axId val="1510347792"/>
        <c:axId val="1510331472"/>
      </c:barChart>
      <c:catAx>
        <c:axId val="151034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31472"/>
        <c:crosses val="autoZero"/>
        <c:auto val="1"/>
        <c:lblAlgn val="ctr"/>
        <c:lblOffset val="100"/>
        <c:noMultiLvlLbl val="0"/>
      </c:catAx>
      <c:valAx>
        <c:axId val="151033147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47792"/>
        <c:crosses val="autoZero"/>
        <c:crossBetween val="between"/>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[RetailSalesDashboard_Final.xlsx.xlsx]PT_Category!PivotTable2</c:name>
    <c:fmtId val="3"/>
  </c:pivotSource>
  <c:chart>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pivotFmt>
      <c:pivotFmt>
        <c:idx val="3"/>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PT_Category!$B$3</c:f>
              <c:strCache>
                <c:ptCount val="1"/>
                <c:pt idx="0">
                  <c:v>Sum of Sales</c:v>
                </c:pt>
              </c:strCache>
            </c:strRef>
          </c:tx>
          <c:spPr>
            <a:noFill/>
            <a:ln>
              <a:noFill/>
            </a:ln>
            <a:effectLst/>
          </c:spPr>
          <c:invertIfNegative val="0"/>
          <c:cat>
            <c:strRef>
              <c:f>PT_Category!$A$4:$A$7</c:f>
              <c:strCache>
                <c:ptCount val="3"/>
                <c:pt idx="0">
                  <c:v>Furniture</c:v>
                </c:pt>
                <c:pt idx="1">
                  <c:v>Office Supplies</c:v>
                </c:pt>
                <c:pt idx="2">
                  <c:v>Technology</c:v>
                </c:pt>
              </c:strCache>
            </c:strRef>
          </c:cat>
          <c:val>
            <c:numRef>
              <c:f>PT_Category!$B$4:$B$7</c:f>
              <c:numCache>
                <c:formatCode>"$"#,##0</c:formatCode>
                <c:ptCount val="3"/>
                <c:pt idx="0">
                  <c:v>6266.5</c:v>
                </c:pt>
                <c:pt idx="1">
                  <c:v>357.3</c:v>
                </c:pt>
                <c:pt idx="2">
                  <c:v>14630</c:v>
                </c:pt>
              </c:numCache>
            </c:numRef>
          </c:val>
          <c:extLst>
            <c:ext xmlns:c16="http://schemas.microsoft.com/office/drawing/2014/chart" uri="{C3380CC4-5D6E-409C-BE32-E72D297353CC}">
              <c16:uniqueId val="{00000000-3B6D-408B-8DA2-5F4622BC89B8}"/>
            </c:ext>
          </c:extLst>
        </c:ser>
        <c:ser>
          <c:idx val="1"/>
          <c:order val="1"/>
          <c:tx>
            <c:strRef>
              <c:f>PT_Category!$C$3</c:f>
              <c:strCache>
                <c:ptCount val="1"/>
                <c:pt idx="0">
                  <c:v>Sum of Profit</c:v>
                </c:pt>
              </c:strCache>
            </c:strRef>
          </c:tx>
          <c:spPr>
            <a:solidFill>
              <a:schemeClr val="accent2"/>
            </a:solidFill>
            <a:ln>
              <a:noFill/>
            </a:ln>
            <a:effectLst/>
          </c:spPr>
          <c:invertIfNegative val="0"/>
          <c:cat>
            <c:strRef>
              <c:f>PT_Category!$A$4:$A$7</c:f>
              <c:strCache>
                <c:ptCount val="3"/>
                <c:pt idx="0">
                  <c:v>Furniture</c:v>
                </c:pt>
                <c:pt idx="1">
                  <c:v>Office Supplies</c:v>
                </c:pt>
                <c:pt idx="2">
                  <c:v>Technology</c:v>
                </c:pt>
              </c:strCache>
            </c:strRef>
          </c:cat>
          <c:val>
            <c:numRef>
              <c:f>PT_Category!$C$4:$C$7</c:f>
              <c:numCache>
                <c:formatCode>"$"#,##0</c:formatCode>
                <c:ptCount val="3"/>
                <c:pt idx="0">
                  <c:v>456</c:v>
                </c:pt>
                <c:pt idx="1">
                  <c:v>85.2</c:v>
                </c:pt>
                <c:pt idx="2">
                  <c:v>3840.5</c:v>
                </c:pt>
              </c:numCache>
            </c:numRef>
          </c:val>
          <c:extLst>
            <c:ext xmlns:c16="http://schemas.microsoft.com/office/drawing/2014/chart" uri="{C3380CC4-5D6E-409C-BE32-E72D297353CC}">
              <c16:uniqueId val="{00000001-3B6D-408B-8DA2-5F4622BC89B8}"/>
            </c:ext>
          </c:extLst>
        </c:ser>
        <c:dLbls>
          <c:showLegendKey val="0"/>
          <c:showVal val="0"/>
          <c:showCatName val="0"/>
          <c:showSerName val="0"/>
          <c:showPercent val="0"/>
          <c:showBubbleSize val="0"/>
        </c:dLbls>
        <c:gapWidth val="219"/>
        <c:overlap val="-27"/>
        <c:axId val="1510301232"/>
        <c:axId val="1510312272"/>
      </c:barChart>
      <c:catAx>
        <c:axId val="151030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12272"/>
        <c:crosses val="autoZero"/>
        <c:auto val="1"/>
        <c:lblAlgn val="ctr"/>
        <c:lblOffset val="100"/>
        <c:noMultiLvlLbl val="0"/>
      </c:catAx>
      <c:valAx>
        <c:axId val="151031227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01232"/>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[RetailSalesDashboard_Final.xlsx.xlsx]PT_Month!PivotTable3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PT_Month!$B$3</c:f>
              <c:strCache>
                <c:ptCount val="1"/>
                <c:pt idx="0">
                  <c:v>Total</c:v>
                </c:pt>
              </c:strCache>
            </c:strRef>
          </c:tx>
          <c:spPr>
            <a:ln w="28575" cap="rnd">
              <a:solidFill>
                <a:schemeClr val="accent1"/>
              </a:solidFill>
              <a:round/>
            </a:ln>
            <a:effectLst/>
          </c:spPr>
          <c:marker>
            <c:symbol val="none"/>
          </c:marker>
          <c:cat>
            <c:strRef>
              <c:f>PT_Month!$A$4:$A$7</c:f>
              <c:strCache>
                <c:ptCount val="3"/>
                <c:pt idx="0">
                  <c:v>Jan</c:v>
                </c:pt>
                <c:pt idx="1">
                  <c:v>Feb</c:v>
                </c:pt>
                <c:pt idx="2">
                  <c:v>Mar</c:v>
                </c:pt>
              </c:strCache>
            </c:strRef>
          </c:cat>
          <c:val>
            <c:numRef>
              <c:f>PT_Month!$B$4:$B$7</c:f>
              <c:numCache>
                <c:formatCode>"$"#,##0</c:formatCode>
                <c:ptCount val="3"/>
                <c:pt idx="0">
                  <c:v>6521.8</c:v>
                </c:pt>
                <c:pt idx="1">
                  <c:v>7797</c:v>
                </c:pt>
                <c:pt idx="2">
                  <c:v>6935</c:v>
                </c:pt>
              </c:numCache>
            </c:numRef>
          </c:val>
          <c:smooth val="0"/>
          <c:extLst>
            <c:ext xmlns:c16="http://schemas.microsoft.com/office/drawing/2014/chart" uri="{C3380CC4-5D6E-409C-BE32-E72D297353CC}">
              <c16:uniqueId val="{00000000-6D71-4363-9A98-B219E4F6C54E}"/>
            </c:ext>
          </c:extLst>
        </c:ser>
        <c:dLbls>
          <c:showLegendKey val="0"/>
          <c:showVal val="0"/>
          <c:showCatName val="0"/>
          <c:showSerName val="0"/>
          <c:showPercent val="0"/>
          <c:showBubbleSize val="0"/>
        </c:dLbls>
        <c:smooth val="0"/>
        <c:axId val="1510309872"/>
        <c:axId val="1510307952"/>
      </c:lineChart>
      <c:catAx>
        <c:axId val="151030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07952"/>
        <c:crosses val="autoZero"/>
        <c:auto val="1"/>
        <c:lblAlgn val="ctr"/>
        <c:lblOffset val="100"/>
        <c:noMultiLvlLbl val="0"/>
      </c:catAx>
      <c:valAx>
        <c:axId val="151030795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0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ADADA"/>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485775</xdr:colOff>
      <xdr:row>1</xdr:row>
      <xdr:rowOff>166687</xdr:rowOff>
    </xdr:from>
    <xdr:to>
      <xdr:col>14</xdr:col>
      <xdr:colOff>180975</xdr:colOff>
      <xdr:row>16</xdr:row>
      <xdr:rowOff>52387</xdr:rowOff>
    </xdr:to>
    <xdr:graphicFrame macro="">
      <xdr:nvGraphicFramePr>
        <xdr:cNvPr id="2" name="Chart 1">
          <a:extLst>
            <a:ext uri="{FF2B5EF4-FFF2-40B4-BE49-F238E27FC236}">
              <a16:creationId xmlns:a16="http://schemas.microsoft.com/office/drawing/2014/main" id="{2228FD10-B343-ACD5-38BE-423110436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395287</xdr:colOff>
      <xdr:row>1</xdr:row>
      <xdr:rowOff>157162</xdr:rowOff>
    </xdr:from>
    <xdr:to>
      <xdr:col>22</xdr:col>
      <xdr:colOff>90487</xdr:colOff>
      <xdr:row>16</xdr:row>
      <xdr:rowOff>42862</xdr:rowOff>
    </xdr:to>
    <xdr:graphicFrame macro="">
      <xdr:nvGraphicFramePr>
        <xdr:cNvPr id="3" name="Chart 1">
          <a:extLst>
            <a:ext uri="{FF2B5EF4-FFF2-40B4-BE49-F238E27FC236}">
              <a16:creationId xmlns:a16="http://schemas.microsoft.com/office/drawing/2014/main" id="{12EE2D19-DADA-3037-9FAB-7F860C131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371475</xdr:colOff>
      <xdr:row>17</xdr:row>
      <xdr:rowOff>166686</xdr:rowOff>
    </xdr:from>
    <xdr:to>
      <xdr:col>22</xdr:col>
      <xdr:colOff>104775</xdr:colOff>
      <xdr:row>32</xdr:row>
      <xdr:rowOff>190499</xdr:rowOff>
    </xdr:to>
    <xdr:graphicFrame macro="">
      <xdr:nvGraphicFramePr>
        <xdr:cNvPr id="4" name="Chart 1">
          <a:extLst>
            <a:ext uri="{FF2B5EF4-FFF2-40B4-BE49-F238E27FC236}">
              <a16:creationId xmlns:a16="http://schemas.microsoft.com/office/drawing/2014/main" id="{79E3A7AA-D4A6-E269-9C0E-6DE0C0A3E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133350</xdr:colOff>
      <xdr:row>17</xdr:row>
      <xdr:rowOff>161925</xdr:rowOff>
    </xdr:from>
    <xdr:to>
      <xdr:col>14</xdr:col>
      <xdr:colOff>200025</xdr:colOff>
      <xdr:row>31</xdr:row>
      <xdr:rowOff>161925</xdr:rowOff>
    </xdr:to>
    <xdr:grpSp>
      <xdr:nvGrpSpPr>
        <xdr:cNvPr id="9" name="Group 8">
          <a:extLst>
            <a:ext uri="{FF2B5EF4-FFF2-40B4-BE49-F238E27FC236}">
              <a16:creationId xmlns:a16="http://schemas.microsoft.com/office/drawing/2014/main" id="{A9CB1BC3-3F7B-39D4-1A29-D3241B3E26D4}"/>
            </a:ext>
          </a:extLst>
        </xdr:cNvPr>
        <xdr:cNvGrpSpPr/>
      </xdr:nvGrpSpPr>
      <xdr:grpSpPr>
        <a:xfrm>
          <a:off x="4914900" y="3724275"/>
          <a:ext cx="5553075" cy="2667000"/>
          <a:chOff x="4429125" y="3619500"/>
          <a:chExt cx="5553075" cy="2667000"/>
        </a:xfrm>
      </xdr:grpSpPr>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E7273C9-793C-46CD-ADAA-5D07F77F47AA}"/>
                  </a:ext>
                </a:extLst>
              </xdr:cNvPr>
              <xdr:cNvGraphicFramePr/>
            </xdr:nvGraphicFramePr>
            <xdr:xfrm>
              <a:off x="6291262" y="3619500"/>
              <a:ext cx="1828800" cy="266700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77037" y="3724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D63C0745-DD11-43D1-9D18-3BED59DF8C96}"/>
                  </a:ext>
                </a:extLst>
              </xdr:cNvPr>
              <xdr:cNvGraphicFramePr/>
            </xdr:nvGraphicFramePr>
            <xdr:xfrm>
              <a:off x="4429125" y="3619500"/>
              <a:ext cx="1828800" cy="266700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14900" y="3724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6956FB84-CF07-4DED-A6F6-79E51A3B0BC1}"/>
                  </a:ext>
                </a:extLst>
              </xdr:cNvPr>
              <xdr:cNvGraphicFramePr/>
            </xdr:nvGraphicFramePr>
            <xdr:xfrm>
              <a:off x="8153400" y="3619500"/>
              <a:ext cx="1828800" cy="266700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639175" y="3724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333375</xdr:colOff>
      <xdr:row>0</xdr:row>
      <xdr:rowOff>390525</xdr:rowOff>
    </xdr:from>
    <xdr:to>
      <xdr:col>6</xdr:col>
      <xdr:colOff>209550</xdr:colOff>
      <xdr:row>0</xdr:row>
      <xdr:rowOff>390525</xdr:rowOff>
    </xdr:to>
    <xdr:cxnSp macro="">
      <xdr:nvCxnSpPr>
        <xdr:cNvPr id="18" name="Straight Connector 17">
          <a:extLst>
            <a:ext uri="{FF2B5EF4-FFF2-40B4-BE49-F238E27FC236}">
              <a16:creationId xmlns:a16="http://schemas.microsoft.com/office/drawing/2014/main" id="{05C71714-4597-9F41-F9BB-025628BCB6B6}"/>
            </a:ext>
          </a:extLst>
        </xdr:cNvPr>
        <xdr:cNvCxnSpPr/>
      </xdr:nvCxnSpPr>
      <xdr:spPr>
        <a:xfrm flipH="1">
          <a:off x="942975" y="390525"/>
          <a:ext cx="4657725" cy="0"/>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hara" refreshedDate="45979.750500810187" createdVersion="8" refreshedVersion="8" minRefreshableVersion="3" recordCount="50" xr:uid="{806375BE-8DA3-4298-9EF3-2CE9824EBF0F}">
  <cacheSource type="worksheet">
    <worksheetSource name="SalesTable"/>
  </cacheSource>
  <cacheFields count="10">
    <cacheField name="OrderID" numFmtId="0">
      <sharedItems containsSemiMixedTypes="0" containsString="0" containsNumber="1" containsInteger="1" minValue="1001" maxValue="1050"/>
    </cacheField>
    <cacheField name="OrderDate" numFmtId="14">
      <sharedItems containsSemiMixedTypes="0" containsNonDate="0" containsDate="1" containsString="0" minDate="2024-01-03T00:00:00" maxDate="2024-03-21T00:00:00"/>
    </cacheField>
    <cacheField name="Region" numFmtId="0">
      <sharedItems count="4">
        <s v="East"/>
        <s v="West"/>
        <s v="South"/>
        <s v="Central"/>
      </sharedItems>
    </cacheField>
    <cacheField name="Category" numFmtId="0">
      <sharedItems count="3">
        <s v="Furniture"/>
        <s v="Technology"/>
        <s v="Office Supplies"/>
      </sharedItems>
    </cacheField>
    <cacheField name="SubCategory" numFmtId="0">
      <sharedItems/>
    </cacheField>
    <cacheField name="Sales" numFmtId="0">
      <sharedItems containsSemiMixedTypes="0" containsString="0" containsNumber="1" minValue="18.5" maxValue="1500"/>
    </cacheField>
    <cacheField name="Quantity" numFmtId="0">
      <sharedItems containsSemiMixedTypes="0" containsString="0" containsNumber="1" containsInteger="1" minValue="1" maxValue="7"/>
    </cacheField>
    <cacheField name="Profit" numFmtId="0">
      <sharedItems containsSemiMixedTypes="0" containsString="0" containsNumber="1" minValue="-50" maxValue="400"/>
    </cacheField>
    <cacheField name="Month" numFmtId="0">
      <sharedItems count="3">
        <s v="Jan"/>
        <s v="Feb"/>
        <s v="Mar"/>
      </sharedItems>
    </cacheField>
    <cacheField name="Year" numFmtId="0">
      <sharedItems containsSemiMixedTypes="0" containsString="0" containsNumber="1" containsInteger="1" minValue="2024" maxValue="2024" count="1">
        <n v="2024"/>
      </sharedItems>
    </cacheField>
  </cacheFields>
  <extLst>
    <ext xmlns:x14="http://schemas.microsoft.com/office/spreadsheetml/2009/9/main" uri="{725AE2AE-9491-48be-B2B4-4EB974FC3084}">
      <x14:pivotCacheDefinition pivotCacheId="268593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d v="2024-01-03T00:00:00"/>
    <x v="0"/>
    <x v="0"/>
    <s v="Chairs"/>
    <n v="250.5"/>
    <n v="2"/>
    <n v="48"/>
    <x v="0"/>
    <x v="0"/>
  </r>
  <r>
    <n v="1002"/>
    <d v="2024-01-05T00:00:00"/>
    <x v="1"/>
    <x v="1"/>
    <s v="Phones"/>
    <n v="780"/>
    <n v="3"/>
    <n v="210"/>
    <x v="0"/>
    <x v="0"/>
  </r>
  <r>
    <n v="1003"/>
    <d v="2024-01-06T00:00:00"/>
    <x v="2"/>
    <x v="2"/>
    <s v="Binders"/>
    <n v="35.200000000000003"/>
    <n v="4"/>
    <n v="8.5"/>
    <x v="0"/>
    <x v="0"/>
  </r>
  <r>
    <n v="1004"/>
    <d v="2024-01-08T00:00:00"/>
    <x v="3"/>
    <x v="0"/>
    <s v="Tables"/>
    <n v="420"/>
    <n v="1"/>
    <n v="-50"/>
    <x v="0"/>
    <x v="0"/>
  </r>
  <r>
    <n v="1005"/>
    <d v="2024-01-10T00:00:00"/>
    <x v="0"/>
    <x v="1"/>
    <s v="Laptops"/>
    <n v="1250"/>
    <n v="1"/>
    <n v="320"/>
    <x v="0"/>
    <x v="0"/>
  </r>
  <r>
    <n v="1006"/>
    <d v="2024-01-12T00:00:00"/>
    <x v="2"/>
    <x v="0"/>
    <s v="Bookcases"/>
    <n v="300"/>
    <n v="1"/>
    <n v="60"/>
    <x v="0"/>
    <x v="0"/>
  </r>
  <r>
    <n v="1007"/>
    <d v="2024-01-14T00:00:00"/>
    <x v="1"/>
    <x v="2"/>
    <s v="Paper"/>
    <n v="19"/>
    <n v="5"/>
    <n v="5"/>
    <x v="0"/>
    <x v="0"/>
  </r>
  <r>
    <n v="1008"/>
    <d v="2024-01-15T00:00:00"/>
    <x v="3"/>
    <x v="1"/>
    <s v="Accessories"/>
    <n v="65"/>
    <n v="2"/>
    <n v="15"/>
    <x v="0"/>
    <x v="0"/>
  </r>
  <r>
    <n v="1009"/>
    <d v="2024-01-18T00:00:00"/>
    <x v="0"/>
    <x v="0"/>
    <s v="Chairs"/>
    <n v="210"/>
    <n v="2"/>
    <n v="42"/>
    <x v="0"/>
    <x v="0"/>
  </r>
  <r>
    <n v="1010"/>
    <d v="2024-01-20T00:00:00"/>
    <x v="1"/>
    <x v="1"/>
    <s v="Phones"/>
    <n v="920"/>
    <n v="4"/>
    <n v="250"/>
    <x v="0"/>
    <x v="0"/>
  </r>
  <r>
    <n v="1011"/>
    <d v="2024-01-22T00:00:00"/>
    <x v="2"/>
    <x v="2"/>
    <s v="Binders"/>
    <n v="42.1"/>
    <n v="6"/>
    <n v="10"/>
    <x v="0"/>
    <x v="0"/>
  </r>
  <r>
    <n v="1012"/>
    <d v="2024-01-25T00:00:00"/>
    <x v="3"/>
    <x v="0"/>
    <s v="Tables"/>
    <n v="510"/>
    <n v="1"/>
    <n v="-35"/>
    <x v="0"/>
    <x v="0"/>
  </r>
  <r>
    <n v="1013"/>
    <d v="2024-01-27T00:00:00"/>
    <x v="0"/>
    <x v="1"/>
    <s v="Laptops"/>
    <n v="1440"/>
    <n v="1"/>
    <n v="380"/>
    <x v="0"/>
    <x v="0"/>
  </r>
  <r>
    <n v="1014"/>
    <d v="2024-01-29T00:00:00"/>
    <x v="2"/>
    <x v="0"/>
    <s v="Bookcases"/>
    <n v="280"/>
    <n v="1"/>
    <n v="55"/>
    <x v="0"/>
    <x v="0"/>
  </r>
  <r>
    <n v="1015"/>
    <d v="2024-02-01T00:00:00"/>
    <x v="1"/>
    <x v="2"/>
    <s v="Paper"/>
    <n v="22"/>
    <n v="6"/>
    <n v="6.3"/>
    <x v="1"/>
    <x v="0"/>
  </r>
  <r>
    <n v="1016"/>
    <d v="2024-02-02T00:00:00"/>
    <x v="3"/>
    <x v="1"/>
    <s v="Accessories"/>
    <n v="72"/>
    <n v="2"/>
    <n v="18"/>
    <x v="1"/>
    <x v="0"/>
  </r>
  <r>
    <n v="1017"/>
    <d v="2024-02-05T00:00:00"/>
    <x v="0"/>
    <x v="0"/>
    <s v="Chairs"/>
    <n v="198"/>
    <n v="2"/>
    <n v="40"/>
    <x v="1"/>
    <x v="0"/>
  </r>
  <r>
    <n v="1018"/>
    <d v="2024-02-06T00:00:00"/>
    <x v="1"/>
    <x v="1"/>
    <s v="Phones"/>
    <n v="840"/>
    <n v="3"/>
    <n v="215"/>
    <x v="1"/>
    <x v="0"/>
  </r>
  <r>
    <n v="1019"/>
    <d v="2024-02-07T00:00:00"/>
    <x v="2"/>
    <x v="2"/>
    <s v="Binders"/>
    <n v="39.5"/>
    <n v="5"/>
    <n v="9"/>
    <x v="1"/>
    <x v="0"/>
  </r>
  <r>
    <n v="1020"/>
    <d v="2024-02-09T00:00:00"/>
    <x v="3"/>
    <x v="0"/>
    <s v="Tables"/>
    <n v="430"/>
    <n v="1"/>
    <n v="-48"/>
    <x v="1"/>
    <x v="0"/>
  </r>
  <r>
    <n v="1021"/>
    <d v="2024-02-10T00:00:00"/>
    <x v="0"/>
    <x v="1"/>
    <s v="Laptops"/>
    <n v="1320"/>
    <n v="1"/>
    <n v="345"/>
    <x v="1"/>
    <x v="0"/>
  </r>
  <r>
    <n v="1022"/>
    <d v="2024-02-11T00:00:00"/>
    <x v="2"/>
    <x v="0"/>
    <s v="Bookcases"/>
    <n v="295"/>
    <n v="1"/>
    <n v="58"/>
    <x v="1"/>
    <x v="0"/>
  </r>
  <r>
    <n v="1023"/>
    <d v="2024-02-12T00:00:00"/>
    <x v="1"/>
    <x v="2"/>
    <s v="Paper"/>
    <n v="20"/>
    <n v="5"/>
    <n v="5.0999999999999996"/>
    <x v="1"/>
    <x v="0"/>
  </r>
  <r>
    <n v="1024"/>
    <d v="2024-02-13T00:00:00"/>
    <x v="3"/>
    <x v="1"/>
    <s v="Accessories"/>
    <n v="68"/>
    <n v="2"/>
    <n v="16"/>
    <x v="1"/>
    <x v="0"/>
  </r>
  <r>
    <n v="1025"/>
    <d v="2024-02-14T00:00:00"/>
    <x v="0"/>
    <x v="0"/>
    <s v="Chairs"/>
    <n v="225"/>
    <n v="2"/>
    <n v="44"/>
    <x v="1"/>
    <x v="0"/>
  </r>
  <r>
    <n v="1026"/>
    <d v="2024-02-16T00:00:00"/>
    <x v="1"/>
    <x v="1"/>
    <s v="Phones"/>
    <n v="890"/>
    <n v="3"/>
    <n v="230"/>
    <x v="1"/>
    <x v="0"/>
  </r>
  <r>
    <n v="1027"/>
    <d v="2024-02-17T00:00:00"/>
    <x v="2"/>
    <x v="2"/>
    <s v="Binders"/>
    <n v="37.799999999999997"/>
    <n v="4"/>
    <n v="8"/>
    <x v="1"/>
    <x v="0"/>
  </r>
  <r>
    <n v="1028"/>
    <d v="2024-02-19T00:00:00"/>
    <x v="3"/>
    <x v="0"/>
    <s v="Tables"/>
    <n v="500"/>
    <n v="1"/>
    <n v="-25"/>
    <x v="1"/>
    <x v="0"/>
  </r>
  <r>
    <n v="1029"/>
    <d v="2024-02-21T00:00:00"/>
    <x v="0"/>
    <x v="1"/>
    <s v="Laptops"/>
    <n v="1400"/>
    <n v="1"/>
    <n v="370"/>
    <x v="1"/>
    <x v="0"/>
  </r>
  <r>
    <n v="1030"/>
    <d v="2024-02-22T00:00:00"/>
    <x v="2"/>
    <x v="0"/>
    <s v="Bookcases"/>
    <n v="310"/>
    <n v="1"/>
    <n v="62"/>
    <x v="1"/>
    <x v="0"/>
  </r>
  <r>
    <n v="1031"/>
    <d v="2024-02-24T00:00:00"/>
    <x v="1"/>
    <x v="2"/>
    <s v="Paper"/>
    <n v="18.5"/>
    <n v="4"/>
    <n v="4.5"/>
    <x v="1"/>
    <x v="0"/>
  </r>
  <r>
    <n v="1032"/>
    <d v="2024-02-25T00:00:00"/>
    <x v="3"/>
    <x v="1"/>
    <s v="Accessories"/>
    <n v="80"/>
    <n v="2"/>
    <n v="19"/>
    <x v="1"/>
    <x v="0"/>
  </r>
  <r>
    <n v="1033"/>
    <d v="2024-02-26T00:00:00"/>
    <x v="0"/>
    <x v="0"/>
    <s v="Chairs"/>
    <n v="230"/>
    <n v="2"/>
    <n v="47"/>
    <x v="1"/>
    <x v="0"/>
  </r>
  <r>
    <n v="1034"/>
    <d v="2024-02-27T00:00:00"/>
    <x v="1"/>
    <x v="1"/>
    <s v="Phones"/>
    <n v="760"/>
    <n v="3"/>
    <n v="205"/>
    <x v="1"/>
    <x v="0"/>
  </r>
  <r>
    <n v="1035"/>
    <d v="2024-02-29T00:00:00"/>
    <x v="2"/>
    <x v="2"/>
    <s v="Binders"/>
    <n v="41.2"/>
    <n v="5"/>
    <n v="9.3000000000000007"/>
    <x v="1"/>
    <x v="0"/>
  </r>
  <r>
    <n v="1036"/>
    <d v="2024-03-01T00:00:00"/>
    <x v="3"/>
    <x v="0"/>
    <s v="Tables"/>
    <n v="540"/>
    <n v="1"/>
    <n v="-20"/>
    <x v="2"/>
    <x v="0"/>
  </r>
  <r>
    <n v="1037"/>
    <d v="2024-03-02T00:00:00"/>
    <x v="0"/>
    <x v="1"/>
    <s v="Laptops"/>
    <n v="1500"/>
    <n v="1"/>
    <n v="400"/>
    <x v="2"/>
    <x v="0"/>
  </r>
  <r>
    <n v="1038"/>
    <d v="2024-03-03T00:00:00"/>
    <x v="2"/>
    <x v="0"/>
    <s v="Bookcases"/>
    <n v="305"/>
    <n v="1"/>
    <n v="60"/>
    <x v="2"/>
    <x v="0"/>
  </r>
  <r>
    <n v="1039"/>
    <d v="2024-03-04T00:00:00"/>
    <x v="1"/>
    <x v="2"/>
    <s v="Paper"/>
    <n v="25"/>
    <n v="7"/>
    <n v="7"/>
    <x v="2"/>
    <x v="0"/>
  </r>
  <r>
    <n v="1040"/>
    <d v="2024-03-06T00:00:00"/>
    <x v="3"/>
    <x v="1"/>
    <s v="Accessories"/>
    <n v="75"/>
    <n v="2"/>
    <n v="17"/>
    <x v="2"/>
    <x v="0"/>
  </r>
  <r>
    <n v="1041"/>
    <d v="2024-03-08T00:00:00"/>
    <x v="0"/>
    <x v="0"/>
    <s v="Chairs"/>
    <n v="240"/>
    <n v="2"/>
    <n v="46"/>
    <x v="2"/>
    <x v="0"/>
  </r>
  <r>
    <n v="1042"/>
    <d v="2024-03-10T00:00:00"/>
    <x v="1"/>
    <x v="1"/>
    <s v="Phones"/>
    <n v="820"/>
    <n v="3"/>
    <n v="220"/>
    <x v="2"/>
    <x v="0"/>
  </r>
  <r>
    <n v="1043"/>
    <d v="2024-03-11T00:00:00"/>
    <x v="2"/>
    <x v="2"/>
    <s v="Binders"/>
    <n v="36"/>
    <n v="4"/>
    <n v="7.5"/>
    <x v="2"/>
    <x v="0"/>
  </r>
  <r>
    <n v="1044"/>
    <d v="2024-03-12T00:00:00"/>
    <x v="3"/>
    <x v="0"/>
    <s v="Tables"/>
    <n v="515"/>
    <n v="1"/>
    <n v="-30"/>
    <x v="2"/>
    <x v="0"/>
  </r>
  <r>
    <n v="1045"/>
    <d v="2024-03-13T00:00:00"/>
    <x v="0"/>
    <x v="1"/>
    <s v="Laptops"/>
    <n v="1380"/>
    <n v="1"/>
    <n v="355"/>
    <x v="2"/>
    <x v="0"/>
  </r>
  <r>
    <n v="1046"/>
    <d v="2024-03-14T00:00:00"/>
    <x v="2"/>
    <x v="0"/>
    <s v="Bookcases"/>
    <n v="298"/>
    <n v="1"/>
    <n v="59"/>
    <x v="2"/>
    <x v="0"/>
  </r>
  <r>
    <n v="1047"/>
    <d v="2024-03-15T00:00:00"/>
    <x v="1"/>
    <x v="2"/>
    <s v="Paper"/>
    <n v="21"/>
    <n v="5"/>
    <n v="5"/>
    <x v="2"/>
    <x v="0"/>
  </r>
  <r>
    <n v="1048"/>
    <d v="2024-03-17T00:00:00"/>
    <x v="3"/>
    <x v="1"/>
    <s v="Accessories"/>
    <n v="70"/>
    <n v="2"/>
    <n v="15.5"/>
    <x v="2"/>
    <x v="0"/>
  </r>
  <r>
    <n v="1049"/>
    <d v="2024-03-18T00:00:00"/>
    <x v="0"/>
    <x v="0"/>
    <s v="Chairs"/>
    <n v="210"/>
    <n v="2"/>
    <n v="43"/>
    <x v="2"/>
    <x v="0"/>
  </r>
  <r>
    <n v="1050"/>
    <d v="2024-03-20T00:00:00"/>
    <x v="1"/>
    <x v="1"/>
    <s v="Phones"/>
    <n v="900"/>
    <n v="3"/>
    <n v="24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A0F894-5793-4430-8E84-5DAB08D294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8" firstHeaderRow="0" firstDataRow="1" firstDataCol="1"/>
  <pivotFields count="10">
    <pivotField showAll="0"/>
    <pivotField numFmtId="14" showAll="0"/>
    <pivotField axis="axisRow" showAll="0">
      <items count="5">
        <item x="3"/>
        <item x="0"/>
        <item x="2"/>
        <item x="1"/>
        <item t="default"/>
      </items>
    </pivotField>
    <pivotField showAll="0">
      <items count="4">
        <item x="0"/>
        <item x="2"/>
        <item x="1"/>
        <item t="default"/>
      </items>
    </pivotField>
    <pivotField showAll="0"/>
    <pivotField dataField="1" showAll="0"/>
    <pivotField showAll="0"/>
    <pivotField dataField="1" showAll="0"/>
    <pivotField showAll="0"/>
    <pivotField showAll="0">
      <items count="2">
        <item x="0"/>
        <item t="default"/>
      </items>
    </pivotField>
  </pivotFields>
  <rowFields count="1">
    <field x="2"/>
  </rowFields>
  <rowItems count="5">
    <i>
      <x/>
    </i>
    <i>
      <x v="1"/>
    </i>
    <i>
      <x v="2"/>
    </i>
    <i>
      <x v="3"/>
    </i>
    <i t="grand">
      <x/>
    </i>
  </rowItems>
  <colFields count="1">
    <field x="-2"/>
  </colFields>
  <colItems count="2">
    <i>
      <x/>
    </i>
    <i i="1">
      <x v="1"/>
    </i>
  </colItems>
  <dataFields count="2">
    <dataField name="Sum of Sales" fld="5" baseField="0" baseItem="0"/>
    <dataField name="Sum of Profit" fld="7" baseField="0" baseItem="0"/>
  </dataFields>
  <formats count="3">
    <format dxfId="4">
      <pivotArea collapsedLevelsAreSubtotals="1" fieldPosition="0">
        <references count="2">
          <reference field="4294967294" count="1" selected="0">
            <x v="0"/>
          </reference>
          <reference field="2" count="0"/>
        </references>
      </pivotArea>
    </format>
    <format dxfId="3">
      <pivotArea collapsedLevelsAreSubtotals="1" fieldPosition="0">
        <references count="2">
          <reference field="4294967294" count="1" selected="0">
            <x v="1"/>
          </reference>
          <reference field="2" count="0"/>
        </references>
      </pivotArea>
    </format>
    <format dxfId="2">
      <pivotArea grandRow="1"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2D50B5-CF9F-4DF9-8E8F-9FAB5AD6C8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pivotFields count="10">
    <pivotField showAll="0"/>
    <pivotField numFmtId="14" showAll="0"/>
    <pivotField showAll="0">
      <items count="5">
        <item x="3"/>
        <item x="0"/>
        <item x="2"/>
        <item x="1"/>
        <item t="default"/>
      </items>
    </pivotField>
    <pivotField axis="axisRow" showAll="0">
      <items count="4">
        <item x="0"/>
        <item x="2"/>
        <item x="1"/>
        <item t="default"/>
      </items>
    </pivotField>
    <pivotField showAll="0"/>
    <pivotField dataField="1" showAll="0"/>
    <pivotField showAll="0"/>
    <pivotField dataField="1" showAll="0"/>
    <pivotField showAll="0"/>
    <pivotField showAll="0">
      <items count="2">
        <item x="0"/>
        <item t="default"/>
      </items>
    </pivotField>
  </pivotFields>
  <rowFields count="1">
    <field x="3"/>
  </rowFields>
  <rowItems count="4">
    <i>
      <x/>
    </i>
    <i>
      <x v="1"/>
    </i>
    <i>
      <x v="2"/>
    </i>
    <i t="grand">
      <x/>
    </i>
  </rowItems>
  <colFields count="1">
    <field x="-2"/>
  </colFields>
  <colItems count="2">
    <i>
      <x/>
    </i>
    <i i="1">
      <x v="1"/>
    </i>
  </colItems>
  <dataFields count="2">
    <dataField name="Sum of Sales" fld="5" baseField="0" baseItem="0"/>
    <dataField name="Sum of Profit" fld="7" baseField="0" baseItem="0"/>
  </dataFields>
  <formats count="1">
    <format dxfId="1">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B10DB0-4C56-4DD6-AB4F-F64E844A0F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rowPageCount="1" colPageCount="1"/>
  <pivotFields count="10">
    <pivotField showAll="0"/>
    <pivotField numFmtId="14" showAll="0"/>
    <pivotField showAll="0">
      <items count="5">
        <item x="3"/>
        <item x="0"/>
        <item x="2"/>
        <item x="1"/>
        <item t="default"/>
      </items>
    </pivotField>
    <pivotField showAll="0">
      <items count="4">
        <item x="0"/>
        <item x="2"/>
        <item x="1"/>
        <item t="default"/>
      </items>
    </pivotField>
    <pivotField showAll="0"/>
    <pivotField dataField="1" showAll="0"/>
    <pivotField showAll="0"/>
    <pivotField showAll="0"/>
    <pivotField axis="axisRow" showAll="0">
      <items count="4">
        <item x="0"/>
        <item x="1"/>
        <item x="2"/>
        <item t="default"/>
      </items>
    </pivotField>
    <pivotField axis="axisPage" showAll="0">
      <items count="2">
        <item x="0"/>
        <item t="default"/>
      </items>
    </pivotField>
  </pivotFields>
  <rowFields count="1">
    <field x="8"/>
  </rowFields>
  <rowItems count="4">
    <i>
      <x/>
    </i>
    <i>
      <x v="1"/>
    </i>
    <i>
      <x v="2"/>
    </i>
    <i t="grand">
      <x/>
    </i>
  </rowItems>
  <colItems count="1">
    <i/>
  </colItems>
  <pageFields count="1">
    <pageField fld="9" hier="-1"/>
  </pageFields>
  <dataFields count="1">
    <dataField name="Sum of Sales" fld="5" baseField="0" baseItem="0" numFmtId="164"/>
  </dataFields>
  <formats count="1">
    <format dxfId="0">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5D28B4-8FD6-4ED2-8F51-1E68AC8F90E2}" sourceName="Region">
  <pivotTables>
    <pivotTable tabId="2" name="PivotTable1"/>
    <pivotTable tabId="3" name="PivotTable2"/>
    <pivotTable tabId="4" name="PivotTable3"/>
  </pivotTables>
  <data>
    <tabular pivotCacheId="268593714">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94D91F-3471-4CF5-B76D-1B568080AFD6}" sourceName="Category">
  <pivotTables>
    <pivotTable tabId="3" name="PivotTable2"/>
    <pivotTable tabId="4" name="PivotTable3"/>
    <pivotTable tabId="2" name="PivotTable1"/>
  </pivotTables>
  <data>
    <tabular pivotCacheId="26859371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CC4A4EC-DD40-41B3-BCA7-43F10E0D1480}" sourceName="Year">
  <pivotTables>
    <pivotTable tabId="4" name="PivotTable3"/>
    <pivotTable tabId="3" name="PivotTable2"/>
    <pivotTable tabId="2" name="PivotTable1"/>
  </pivotTables>
  <data>
    <tabular pivotCacheId="268593714">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44BB151-B19E-430F-A9B7-D885A2AA5873}" cache="Slicer_Region" caption="Region" style="SlicerStyleLight1" rowHeight="257175"/>
  <slicer name="Category" xr10:uid="{B642A553-DD9D-4AB4-ACC2-E891421EED5D}" cache="Slicer_Category" caption="Category" style="SlicerStyleLight1" rowHeight="257175"/>
  <slicer name="Year" xr10:uid="{44E9FD96-25F6-4D63-AD45-81BF7CFFE21E}" cache="Slicer_Year" caption="Year" style="SlicerStyleLight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C8C384-3150-4E1B-9FFE-38F2ABB44A4E}" name="SalesTable" displayName="SalesTable" ref="A1:J51" totalsRowShown="0">
  <autoFilter ref="A1:J51" xr:uid="{A4C8C384-3150-4E1B-9FFE-38F2ABB44A4E}"/>
  <tableColumns count="10">
    <tableColumn id="1" xr3:uid="{8A1DB332-869D-44F5-BC26-9FF90D4DED6A}" name="OrderID"/>
    <tableColumn id="2" xr3:uid="{EE759CE4-F047-492F-9B89-067A5BDD976B}" name="OrderDate" dataDxfId="5"/>
    <tableColumn id="3" xr3:uid="{5D7FF66B-C04D-453B-82FE-770271CB7096}" name="Region"/>
    <tableColumn id="4" xr3:uid="{72A3F0F4-6205-4082-B3F1-62011DE73503}" name="Category"/>
    <tableColumn id="5" xr3:uid="{F36EF87D-ED86-4F66-A5B6-9EA1422A7E83}" name="SubCategory"/>
    <tableColumn id="6" xr3:uid="{59DD6E15-3BA7-43F9-BBD2-4F96D824271E}" name="Sales"/>
    <tableColumn id="7" xr3:uid="{CCDFA7E4-9053-4B81-87BA-3A11EA952DFE}" name="Quantity"/>
    <tableColumn id="8" xr3:uid="{074E2279-D63C-4585-B40E-56F3FCE4DA58}" name="Profit"/>
    <tableColumn id="9" xr3:uid="{FEDC424E-9DA6-49D5-9589-2FDD87CDFCE6}" name="Month">
      <calculatedColumnFormula>TEXT(B2,"mmm")</calculatedColumnFormula>
    </tableColumn>
    <tableColumn id="10" xr3:uid="{CBBB2CCE-61A7-4AFF-8DCE-F645D2851BD5}" name="Year">
      <calculatedColumnFormula>YEAR(B2)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8C9F-8201-4214-A913-51E5CBA1BFBD}">
  <dimension ref="A1:J51"/>
  <sheetViews>
    <sheetView workbookViewId="0">
      <selection activeCell="M5" sqref="M5"/>
    </sheetView>
  </sheetViews>
  <sheetFormatPr defaultRowHeight="15" x14ac:dyDescent="0.25"/>
  <cols>
    <col min="1" max="1" width="10.28515625" customWidth="1"/>
    <col min="2" max="2" width="12.5703125" customWidth="1"/>
    <col min="3" max="3" width="9.42578125" customWidth="1"/>
    <col min="4" max="4" width="14.28515625" bestFit="1" customWidth="1"/>
    <col min="5" max="5" width="14.7109375" customWidth="1"/>
    <col min="6" max="6" width="8" customWidth="1"/>
    <col min="7" max="7" width="10.85546875" customWidth="1"/>
    <col min="8" max="8" width="8.140625" customWidth="1"/>
  </cols>
  <sheetData>
    <row r="1" spans="1:10" x14ac:dyDescent="0.25">
      <c r="A1" t="s">
        <v>0</v>
      </c>
      <c r="B1" t="s">
        <v>1</v>
      </c>
      <c r="C1" t="s">
        <v>2</v>
      </c>
      <c r="D1" t="s">
        <v>3</v>
      </c>
      <c r="E1" t="s">
        <v>4</v>
      </c>
      <c r="F1" t="s">
        <v>5</v>
      </c>
      <c r="G1" t="s">
        <v>6</v>
      </c>
      <c r="H1" t="s">
        <v>7</v>
      </c>
      <c r="I1" t="s">
        <v>23</v>
      </c>
      <c r="J1" t="s">
        <v>24</v>
      </c>
    </row>
    <row r="2" spans="1:10" x14ac:dyDescent="0.25">
      <c r="A2">
        <v>1001</v>
      </c>
      <c r="B2" s="1">
        <v>45294</v>
      </c>
      <c r="C2" t="s">
        <v>8</v>
      </c>
      <c r="D2" t="s">
        <v>9</v>
      </c>
      <c r="E2" t="s">
        <v>10</v>
      </c>
      <c r="F2">
        <v>250.5</v>
      </c>
      <c r="G2">
        <v>2</v>
      </c>
      <c r="H2">
        <v>48</v>
      </c>
      <c r="I2" t="str">
        <f>TEXT(B2,"mmm")</f>
        <v>Jan</v>
      </c>
      <c r="J2">
        <f>YEAR(B2)</f>
        <v>2024</v>
      </c>
    </row>
    <row r="3" spans="1:10" x14ac:dyDescent="0.25">
      <c r="A3">
        <v>1002</v>
      </c>
      <c r="B3" s="1">
        <v>45296</v>
      </c>
      <c r="C3" t="s">
        <v>11</v>
      </c>
      <c r="D3" t="s">
        <v>12</v>
      </c>
      <c r="E3" t="s">
        <v>13</v>
      </c>
      <c r="F3">
        <v>780</v>
      </c>
      <c r="G3">
        <v>3</v>
      </c>
      <c r="H3">
        <v>210</v>
      </c>
      <c r="I3" t="str">
        <f t="shared" ref="I3:I51" si="0">TEXT(B3,"mmm")</f>
        <v>Jan</v>
      </c>
      <c r="J3">
        <f t="shared" ref="J3:J51" si="1">YEAR(B3)</f>
        <v>2024</v>
      </c>
    </row>
    <row r="4" spans="1:10" x14ac:dyDescent="0.25">
      <c r="A4">
        <v>1003</v>
      </c>
      <c r="B4" s="1">
        <v>45297</v>
      </c>
      <c r="C4" t="s">
        <v>14</v>
      </c>
      <c r="D4" t="s">
        <v>15</v>
      </c>
      <c r="E4" t="s">
        <v>16</v>
      </c>
      <c r="F4">
        <v>35.200000000000003</v>
      </c>
      <c r="G4">
        <v>4</v>
      </c>
      <c r="H4">
        <v>8.5</v>
      </c>
      <c r="I4" t="str">
        <f t="shared" si="0"/>
        <v>Jan</v>
      </c>
      <c r="J4">
        <f t="shared" si="1"/>
        <v>2024</v>
      </c>
    </row>
    <row r="5" spans="1:10" x14ac:dyDescent="0.25">
      <c r="A5">
        <v>1004</v>
      </c>
      <c r="B5" s="1">
        <v>45299</v>
      </c>
      <c r="C5" t="s">
        <v>17</v>
      </c>
      <c r="D5" t="s">
        <v>9</v>
      </c>
      <c r="E5" t="s">
        <v>18</v>
      </c>
      <c r="F5">
        <v>420</v>
      </c>
      <c r="G5">
        <v>1</v>
      </c>
      <c r="H5">
        <v>-50</v>
      </c>
      <c r="I5" t="str">
        <f t="shared" si="0"/>
        <v>Jan</v>
      </c>
      <c r="J5">
        <f t="shared" si="1"/>
        <v>2024</v>
      </c>
    </row>
    <row r="6" spans="1:10" x14ac:dyDescent="0.25">
      <c r="A6">
        <v>1005</v>
      </c>
      <c r="B6" s="1">
        <v>45301</v>
      </c>
      <c r="C6" t="s">
        <v>8</v>
      </c>
      <c r="D6" t="s">
        <v>12</v>
      </c>
      <c r="E6" t="s">
        <v>19</v>
      </c>
      <c r="F6">
        <v>1250</v>
      </c>
      <c r="G6">
        <v>1</v>
      </c>
      <c r="H6">
        <v>320</v>
      </c>
      <c r="I6" t="str">
        <f t="shared" si="0"/>
        <v>Jan</v>
      </c>
      <c r="J6">
        <f t="shared" si="1"/>
        <v>2024</v>
      </c>
    </row>
    <row r="7" spans="1:10" x14ac:dyDescent="0.25">
      <c r="A7">
        <v>1006</v>
      </c>
      <c r="B7" s="1">
        <v>45303</v>
      </c>
      <c r="C7" t="s">
        <v>14</v>
      </c>
      <c r="D7" t="s">
        <v>9</v>
      </c>
      <c r="E7" t="s">
        <v>20</v>
      </c>
      <c r="F7">
        <v>300</v>
      </c>
      <c r="G7">
        <v>1</v>
      </c>
      <c r="H7">
        <v>60</v>
      </c>
      <c r="I7" t="str">
        <f t="shared" si="0"/>
        <v>Jan</v>
      </c>
      <c r="J7">
        <f t="shared" si="1"/>
        <v>2024</v>
      </c>
    </row>
    <row r="8" spans="1:10" x14ac:dyDescent="0.25">
      <c r="A8">
        <v>1007</v>
      </c>
      <c r="B8" s="1">
        <v>45305</v>
      </c>
      <c r="C8" t="s">
        <v>11</v>
      </c>
      <c r="D8" t="s">
        <v>15</v>
      </c>
      <c r="E8" t="s">
        <v>21</v>
      </c>
      <c r="F8">
        <v>19</v>
      </c>
      <c r="G8">
        <v>5</v>
      </c>
      <c r="H8">
        <v>5</v>
      </c>
      <c r="I8" t="str">
        <f t="shared" si="0"/>
        <v>Jan</v>
      </c>
      <c r="J8">
        <f t="shared" si="1"/>
        <v>2024</v>
      </c>
    </row>
    <row r="9" spans="1:10" x14ac:dyDescent="0.25">
      <c r="A9">
        <v>1008</v>
      </c>
      <c r="B9" s="1">
        <v>45306</v>
      </c>
      <c r="C9" t="s">
        <v>17</v>
      </c>
      <c r="D9" t="s">
        <v>12</v>
      </c>
      <c r="E9" t="s">
        <v>22</v>
      </c>
      <c r="F9">
        <v>65</v>
      </c>
      <c r="G9">
        <v>2</v>
      </c>
      <c r="H9">
        <v>15</v>
      </c>
      <c r="I9" t="str">
        <f t="shared" si="0"/>
        <v>Jan</v>
      </c>
      <c r="J9">
        <f t="shared" si="1"/>
        <v>2024</v>
      </c>
    </row>
    <row r="10" spans="1:10" x14ac:dyDescent="0.25">
      <c r="A10">
        <v>1009</v>
      </c>
      <c r="B10" s="1">
        <v>45309</v>
      </c>
      <c r="C10" t="s">
        <v>8</v>
      </c>
      <c r="D10" t="s">
        <v>9</v>
      </c>
      <c r="E10" t="s">
        <v>10</v>
      </c>
      <c r="F10">
        <v>210</v>
      </c>
      <c r="G10">
        <v>2</v>
      </c>
      <c r="H10">
        <v>42</v>
      </c>
      <c r="I10" t="str">
        <f t="shared" si="0"/>
        <v>Jan</v>
      </c>
      <c r="J10">
        <f t="shared" si="1"/>
        <v>2024</v>
      </c>
    </row>
    <row r="11" spans="1:10" x14ac:dyDescent="0.25">
      <c r="A11">
        <v>1010</v>
      </c>
      <c r="B11" s="1">
        <v>45311</v>
      </c>
      <c r="C11" t="s">
        <v>11</v>
      </c>
      <c r="D11" t="s">
        <v>12</v>
      </c>
      <c r="E11" t="s">
        <v>13</v>
      </c>
      <c r="F11">
        <v>920</v>
      </c>
      <c r="G11">
        <v>4</v>
      </c>
      <c r="H11">
        <v>250</v>
      </c>
      <c r="I11" t="str">
        <f t="shared" si="0"/>
        <v>Jan</v>
      </c>
      <c r="J11">
        <f t="shared" si="1"/>
        <v>2024</v>
      </c>
    </row>
    <row r="12" spans="1:10" x14ac:dyDescent="0.25">
      <c r="A12">
        <v>1011</v>
      </c>
      <c r="B12" s="1">
        <v>45313</v>
      </c>
      <c r="C12" t="s">
        <v>14</v>
      </c>
      <c r="D12" t="s">
        <v>15</v>
      </c>
      <c r="E12" t="s">
        <v>16</v>
      </c>
      <c r="F12">
        <v>42.1</v>
      </c>
      <c r="G12">
        <v>6</v>
      </c>
      <c r="H12">
        <v>10</v>
      </c>
      <c r="I12" t="str">
        <f t="shared" si="0"/>
        <v>Jan</v>
      </c>
      <c r="J12">
        <f t="shared" si="1"/>
        <v>2024</v>
      </c>
    </row>
    <row r="13" spans="1:10" x14ac:dyDescent="0.25">
      <c r="A13">
        <v>1012</v>
      </c>
      <c r="B13" s="1">
        <v>45316</v>
      </c>
      <c r="C13" t="s">
        <v>17</v>
      </c>
      <c r="D13" t="s">
        <v>9</v>
      </c>
      <c r="E13" t="s">
        <v>18</v>
      </c>
      <c r="F13">
        <v>510</v>
      </c>
      <c r="G13">
        <v>1</v>
      </c>
      <c r="H13">
        <v>-35</v>
      </c>
      <c r="I13" t="str">
        <f t="shared" si="0"/>
        <v>Jan</v>
      </c>
      <c r="J13">
        <f t="shared" si="1"/>
        <v>2024</v>
      </c>
    </row>
    <row r="14" spans="1:10" x14ac:dyDescent="0.25">
      <c r="A14">
        <v>1013</v>
      </c>
      <c r="B14" s="1">
        <v>45318</v>
      </c>
      <c r="C14" t="s">
        <v>8</v>
      </c>
      <c r="D14" t="s">
        <v>12</v>
      </c>
      <c r="E14" t="s">
        <v>19</v>
      </c>
      <c r="F14">
        <v>1440</v>
      </c>
      <c r="G14">
        <v>1</v>
      </c>
      <c r="H14">
        <v>380</v>
      </c>
      <c r="I14" t="str">
        <f t="shared" si="0"/>
        <v>Jan</v>
      </c>
      <c r="J14">
        <f t="shared" si="1"/>
        <v>2024</v>
      </c>
    </row>
    <row r="15" spans="1:10" x14ac:dyDescent="0.25">
      <c r="A15">
        <v>1014</v>
      </c>
      <c r="B15" s="1">
        <v>45320</v>
      </c>
      <c r="C15" t="s">
        <v>14</v>
      </c>
      <c r="D15" t="s">
        <v>9</v>
      </c>
      <c r="E15" t="s">
        <v>20</v>
      </c>
      <c r="F15">
        <v>280</v>
      </c>
      <c r="G15">
        <v>1</v>
      </c>
      <c r="H15">
        <v>55</v>
      </c>
      <c r="I15" t="str">
        <f t="shared" si="0"/>
        <v>Jan</v>
      </c>
      <c r="J15">
        <f t="shared" si="1"/>
        <v>2024</v>
      </c>
    </row>
    <row r="16" spans="1:10" x14ac:dyDescent="0.25">
      <c r="A16">
        <v>1015</v>
      </c>
      <c r="B16" s="1">
        <v>45323</v>
      </c>
      <c r="C16" t="s">
        <v>11</v>
      </c>
      <c r="D16" t="s">
        <v>15</v>
      </c>
      <c r="E16" t="s">
        <v>21</v>
      </c>
      <c r="F16">
        <v>22</v>
      </c>
      <c r="G16">
        <v>6</v>
      </c>
      <c r="H16">
        <v>6.3</v>
      </c>
      <c r="I16" t="str">
        <f t="shared" si="0"/>
        <v>Feb</v>
      </c>
      <c r="J16">
        <f t="shared" si="1"/>
        <v>2024</v>
      </c>
    </row>
    <row r="17" spans="1:10" x14ac:dyDescent="0.25">
      <c r="A17">
        <v>1016</v>
      </c>
      <c r="B17" s="1">
        <v>45324</v>
      </c>
      <c r="C17" t="s">
        <v>17</v>
      </c>
      <c r="D17" t="s">
        <v>12</v>
      </c>
      <c r="E17" t="s">
        <v>22</v>
      </c>
      <c r="F17">
        <v>72</v>
      </c>
      <c r="G17">
        <v>2</v>
      </c>
      <c r="H17">
        <v>18</v>
      </c>
      <c r="I17" t="str">
        <f t="shared" si="0"/>
        <v>Feb</v>
      </c>
      <c r="J17">
        <f t="shared" si="1"/>
        <v>2024</v>
      </c>
    </row>
    <row r="18" spans="1:10" x14ac:dyDescent="0.25">
      <c r="A18">
        <v>1017</v>
      </c>
      <c r="B18" s="1">
        <v>45327</v>
      </c>
      <c r="C18" t="s">
        <v>8</v>
      </c>
      <c r="D18" t="s">
        <v>9</v>
      </c>
      <c r="E18" t="s">
        <v>10</v>
      </c>
      <c r="F18">
        <v>198</v>
      </c>
      <c r="G18">
        <v>2</v>
      </c>
      <c r="H18">
        <v>40</v>
      </c>
      <c r="I18" t="str">
        <f t="shared" si="0"/>
        <v>Feb</v>
      </c>
      <c r="J18">
        <f t="shared" si="1"/>
        <v>2024</v>
      </c>
    </row>
    <row r="19" spans="1:10" x14ac:dyDescent="0.25">
      <c r="A19">
        <v>1018</v>
      </c>
      <c r="B19" s="1">
        <v>45328</v>
      </c>
      <c r="C19" t="s">
        <v>11</v>
      </c>
      <c r="D19" t="s">
        <v>12</v>
      </c>
      <c r="E19" t="s">
        <v>13</v>
      </c>
      <c r="F19">
        <v>840</v>
      </c>
      <c r="G19">
        <v>3</v>
      </c>
      <c r="H19">
        <v>215</v>
      </c>
      <c r="I19" t="str">
        <f t="shared" si="0"/>
        <v>Feb</v>
      </c>
      <c r="J19">
        <f t="shared" si="1"/>
        <v>2024</v>
      </c>
    </row>
    <row r="20" spans="1:10" x14ac:dyDescent="0.25">
      <c r="A20">
        <v>1019</v>
      </c>
      <c r="B20" s="1">
        <v>45329</v>
      </c>
      <c r="C20" t="s">
        <v>14</v>
      </c>
      <c r="D20" t="s">
        <v>15</v>
      </c>
      <c r="E20" t="s">
        <v>16</v>
      </c>
      <c r="F20">
        <v>39.5</v>
      </c>
      <c r="G20">
        <v>5</v>
      </c>
      <c r="H20">
        <v>9</v>
      </c>
      <c r="I20" t="str">
        <f t="shared" si="0"/>
        <v>Feb</v>
      </c>
      <c r="J20">
        <f t="shared" si="1"/>
        <v>2024</v>
      </c>
    </row>
    <row r="21" spans="1:10" x14ac:dyDescent="0.25">
      <c r="A21">
        <v>1020</v>
      </c>
      <c r="B21" s="1">
        <v>45331</v>
      </c>
      <c r="C21" t="s">
        <v>17</v>
      </c>
      <c r="D21" t="s">
        <v>9</v>
      </c>
      <c r="E21" t="s">
        <v>18</v>
      </c>
      <c r="F21">
        <v>430</v>
      </c>
      <c r="G21">
        <v>1</v>
      </c>
      <c r="H21">
        <v>-48</v>
      </c>
      <c r="I21" t="str">
        <f t="shared" si="0"/>
        <v>Feb</v>
      </c>
      <c r="J21">
        <f t="shared" si="1"/>
        <v>2024</v>
      </c>
    </row>
    <row r="22" spans="1:10" x14ac:dyDescent="0.25">
      <c r="A22">
        <v>1021</v>
      </c>
      <c r="B22" s="1">
        <v>45332</v>
      </c>
      <c r="C22" t="s">
        <v>8</v>
      </c>
      <c r="D22" t="s">
        <v>12</v>
      </c>
      <c r="E22" t="s">
        <v>19</v>
      </c>
      <c r="F22">
        <v>1320</v>
      </c>
      <c r="G22">
        <v>1</v>
      </c>
      <c r="H22">
        <v>345</v>
      </c>
      <c r="I22" t="str">
        <f t="shared" si="0"/>
        <v>Feb</v>
      </c>
      <c r="J22">
        <f t="shared" si="1"/>
        <v>2024</v>
      </c>
    </row>
    <row r="23" spans="1:10" x14ac:dyDescent="0.25">
      <c r="A23">
        <v>1022</v>
      </c>
      <c r="B23" s="1">
        <v>45333</v>
      </c>
      <c r="C23" t="s">
        <v>14</v>
      </c>
      <c r="D23" t="s">
        <v>9</v>
      </c>
      <c r="E23" t="s">
        <v>20</v>
      </c>
      <c r="F23">
        <v>295</v>
      </c>
      <c r="G23">
        <v>1</v>
      </c>
      <c r="H23">
        <v>58</v>
      </c>
      <c r="I23" t="str">
        <f t="shared" si="0"/>
        <v>Feb</v>
      </c>
      <c r="J23">
        <f t="shared" si="1"/>
        <v>2024</v>
      </c>
    </row>
    <row r="24" spans="1:10" x14ac:dyDescent="0.25">
      <c r="A24">
        <v>1023</v>
      </c>
      <c r="B24" s="1">
        <v>45334</v>
      </c>
      <c r="C24" t="s">
        <v>11</v>
      </c>
      <c r="D24" t="s">
        <v>15</v>
      </c>
      <c r="E24" t="s">
        <v>21</v>
      </c>
      <c r="F24">
        <v>20</v>
      </c>
      <c r="G24">
        <v>5</v>
      </c>
      <c r="H24">
        <v>5.0999999999999996</v>
      </c>
      <c r="I24" t="str">
        <f t="shared" si="0"/>
        <v>Feb</v>
      </c>
      <c r="J24">
        <f t="shared" si="1"/>
        <v>2024</v>
      </c>
    </row>
    <row r="25" spans="1:10" x14ac:dyDescent="0.25">
      <c r="A25">
        <v>1024</v>
      </c>
      <c r="B25" s="1">
        <v>45335</v>
      </c>
      <c r="C25" t="s">
        <v>17</v>
      </c>
      <c r="D25" t="s">
        <v>12</v>
      </c>
      <c r="E25" t="s">
        <v>22</v>
      </c>
      <c r="F25">
        <v>68</v>
      </c>
      <c r="G25">
        <v>2</v>
      </c>
      <c r="H25">
        <v>16</v>
      </c>
      <c r="I25" t="str">
        <f t="shared" si="0"/>
        <v>Feb</v>
      </c>
      <c r="J25">
        <f t="shared" si="1"/>
        <v>2024</v>
      </c>
    </row>
    <row r="26" spans="1:10" x14ac:dyDescent="0.25">
      <c r="A26">
        <v>1025</v>
      </c>
      <c r="B26" s="1">
        <v>45336</v>
      </c>
      <c r="C26" t="s">
        <v>8</v>
      </c>
      <c r="D26" t="s">
        <v>9</v>
      </c>
      <c r="E26" t="s">
        <v>10</v>
      </c>
      <c r="F26">
        <v>225</v>
      </c>
      <c r="G26">
        <v>2</v>
      </c>
      <c r="H26">
        <v>44</v>
      </c>
      <c r="I26" t="str">
        <f t="shared" si="0"/>
        <v>Feb</v>
      </c>
      <c r="J26">
        <f t="shared" si="1"/>
        <v>2024</v>
      </c>
    </row>
    <row r="27" spans="1:10" x14ac:dyDescent="0.25">
      <c r="A27">
        <v>1026</v>
      </c>
      <c r="B27" s="1">
        <v>45338</v>
      </c>
      <c r="C27" t="s">
        <v>11</v>
      </c>
      <c r="D27" t="s">
        <v>12</v>
      </c>
      <c r="E27" t="s">
        <v>13</v>
      </c>
      <c r="F27">
        <v>890</v>
      </c>
      <c r="G27">
        <v>3</v>
      </c>
      <c r="H27">
        <v>230</v>
      </c>
      <c r="I27" t="str">
        <f t="shared" si="0"/>
        <v>Feb</v>
      </c>
      <c r="J27">
        <f t="shared" si="1"/>
        <v>2024</v>
      </c>
    </row>
    <row r="28" spans="1:10" x14ac:dyDescent="0.25">
      <c r="A28">
        <v>1027</v>
      </c>
      <c r="B28" s="1">
        <v>45339</v>
      </c>
      <c r="C28" t="s">
        <v>14</v>
      </c>
      <c r="D28" t="s">
        <v>15</v>
      </c>
      <c r="E28" t="s">
        <v>16</v>
      </c>
      <c r="F28">
        <v>37.799999999999997</v>
      </c>
      <c r="G28">
        <v>4</v>
      </c>
      <c r="H28">
        <v>8</v>
      </c>
      <c r="I28" t="str">
        <f t="shared" si="0"/>
        <v>Feb</v>
      </c>
      <c r="J28">
        <f t="shared" si="1"/>
        <v>2024</v>
      </c>
    </row>
    <row r="29" spans="1:10" x14ac:dyDescent="0.25">
      <c r="A29">
        <v>1028</v>
      </c>
      <c r="B29" s="1">
        <v>45341</v>
      </c>
      <c r="C29" t="s">
        <v>17</v>
      </c>
      <c r="D29" t="s">
        <v>9</v>
      </c>
      <c r="E29" t="s">
        <v>18</v>
      </c>
      <c r="F29">
        <v>500</v>
      </c>
      <c r="G29">
        <v>1</v>
      </c>
      <c r="H29">
        <v>-25</v>
      </c>
      <c r="I29" t="str">
        <f t="shared" si="0"/>
        <v>Feb</v>
      </c>
      <c r="J29">
        <f t="shared" si="1"/>
        <v>2024</v>
      </c>
    </row>
    <row r="30" spans="1:10" x14ac:dyDescent="0.25">
      <c r="A30">
        <v>1029</v>
      </c>
      <c r="B30" s="1">
        <v>45343</v>
      </c>
      <c r="C30" t="s">
        <v>8</v>
      </c>
      <c r="D30" t="s">
        <v>12</v>
      </c>
      <c r="E30" t="s">
        <v>19</v>
      </c>
      <c r="F30">
        <v>1400</v>
      </c>
      <c r="G30">
        <v>1</v>
      </c>
      <c r="H30">
        <v>370</v>
      </c>
      <c r="I30" t="str">
        <f t="shared" si="0"/>
        <v>Feb</v>
      </c>
      <c r="J30">
        <f t="shared" si="1"/>
        <v>2024</v>
      </c>
    </row>
    <row r="31" spans="1:10" x14ac:dyDescent="0.25">
      <c r="A31">
        <v>1030</v>
      </c>
      <c r="B31" s="1">
        <v>45344</v>
      </c>
      <c r="C31" t="s">
        <v>14</v>
      </c>
      <c r="D31" t="s">
        <v>9</v>
      </c>
      <c r="E31" t="s">
        <v>20</v>
      </c>
      <c r="F31">
        <v>310</v>
      </c>
      <c r="G31">
        <v>1</v>
      </c>
      <c r="H31">
        <v>62</v>
      </c>
      <c r="I31" t="str">
        <f t="shared" si="0"/>
        <v>Feb</v>
      </c>
      <c r="J31">
        <f t="shared" si="1"/>
        <v>2024</v>
      </c>
    </row>
    <row r="32" spans="1:10" x14ac:dyDescent="0.25">
      <c r="A32">
        <v>1031</v>
      </c>
      <c r="B32" s="1">
        <v>45346</v>
      </c>
      <c r="C32" t="s">
        <v>11</v>
      </c>
      <c r="D32" t="s">
        <v>15</v>
      </c>
      <c r="E32" t="s">
        <v>21</v>
      </c>
      <c r="F32">
        <v>18.5</v>
      </c>
      <c r="G32">
        <v>4</v>
      </c>
      <c r="H32">
        <v>4.5</v>
      </c>
      <c r="I32" t="str">
        <f t="shared" si="0"/>
        <v>Feb</v>
      </c>
      <c r="J32">
        <f t="shared" si="1"/>
        <v>2024</v>
      </c>
    </row>
    <row r="33" spans="1:10" x14ac:dyDescent="0.25">
      <c r="A33">
        <v>1032</v>
      </c>
      <c r="B33" s="1">
        <v>45347</v>
      </c>
      <c r="C33" t="s">
        <v>17</v>
      </c>
      <c r="D33" t="s">
        <v>12</v>
      </c>
      <c r="E33" t="s">
        <v>22</v>
      </c>
      <c r="F33">
        <v>80</v>
      </c>
      <c r="G33">
        <v>2</v>
      </c>
      <c r="H33">
        <v>19</v>
      </c>
      <c r="I33" t="str">
        <f t="shared" si="0"/>
        <v>Feb</v>
      </c>
      <c r="J33">
        <f t="shared" si="1"/>
        <v>2024</v>
      </c>
    </row>
    <row r="34" spans="1:10" x14ac:dyDescent="0.25">
      <c r="A34">
        <v>1033</v>
      </c>
      <c r="B34" s="1">
        <v>45348</v>
      </c>
      <c r="C34" t="s">
        <v>8</v>
      </c>
      <c r="D34" t="s">
        <v>9</v>
      </c>
      <c r="E34" t="s">
        <v>10</v>
      </c>
      <c r="F34">
        <v>230</v>
      </c>
      <c r="G34">
        <v>2</v>
      </c>
      <c r="H34">
        <v>47</v>
      </c>
      <c r="I34" t="str">
        <f t="shared" si="0"/>
        <v>Feb</v>
      </c>
      <c r="J34">
        <f t="shared" si="1"/>
        <v>2024</v>
      </c>
    </row>
    <row r="35" spans="1:10" x14ac:dyDescent="0.25">
      <c r="A35">
        <v>1034</v>
      </c>
      <c r="B35" s="1">
        <v>45349</v>
      </c>
      <c r="C35" t="s">
        <v>11</v>
      </c>
      <c r="D35" t="s">
        <v>12</v>
      </c>
      <c r="E35" t="s">
        <v>13</v>
      </c>
      <c r="F35">
        <v>760</v>
      </c>
      <c r="G35">
        <v>3</v>
      </c>
      <c r="H35">
        <v>205</v>
      </c>
      <c r="I35" t="str">
        <f t="shared" si="0"/>
        <v>Feb</v>
      </c>
      <c r="J35">
        <f t="shared" si="1"/>
        <v>2024</v>
      </c>
    </row>
    <row r="36" spans="1:10" x14ac:dyDescent="0.25">
      <c r="A36">
        <v>1035</v>
      </c>
      <c r="B36" s="1">
        <v>45351</v>
      </c>
      <c r="C36" t="s">
        <v>14</v>
      </c>
      <c r="D36" t="s">
        <v>15</v>
      </c>
      <c r="E36" t="s">
        <v>16</v>
      </c>
      <c r="F36">
        <v>41.2</v>
      </c>
      <c r="G36">
        <v>5</v>
      </c>
      <c r="H36">
        <v>9.3000000000000007</v>
      </c>
      <c r="I36" t="str">
        <f t="shared" si="0"/>
        <v>Feb</v>
      </c>
      <c r="J36">
        <f t="shared" si="1"/>
        <v>2024</v>
      </c>
    </row>
    <row r="37" spans="1:10" x14ac:dyDescent="0.25">
      <c r="A37">
        <v>1036</v>
      </c>
      <c r="B37" s="1">
        <v>45352</v>
      </c>
      <c r="C37" t="s">
        <v>17</v>
      </c>
      <c r="D37" t="s">
        <v>9</v>
      </c>
      <c r="E37" t="s">
        <v>18</v>
      </c>
      <c r="F37">
        <v>540</v>
      </c>
      <c r="G37">
        <v>1</v>
      </c>
      <c r="H37">
        <v>-20</v>
      </c>
      <c r="I37" t="str">
        <f t="shared" si="0"/>
        <v>Mar</v>
      </c>
      <c r="J37">
        <f t="shared" si="1"/>
        <v>2024</v>
      </c>
    </row>
    <row r="38" spans="1:10" x14ac:dyDescent="0.25">
      <c r="A38">
        <v>1037</v>
      </c>
      <c r="B38" s="1">
        <v>45353</v>
      </c>
      <c r="C38" t="s">
        <v>8</v>
      </c>
      <c r="D38" t="s">
        <v>12</v>
      </c>
      <c r="E38" t="s">
        <v>19</v>
      </c>
      <c r="F38">
        <v>1500</v>
      </c>
      <c r="G38">
        <v>1</v>
      </c>
      <c r="H38">
        <v>400</v>
      </c>
      <c r="I38" t="str">
        <f t="shared" si="0"/>
        <v>Mar</v>
      </c>
      <c r="J38">
        <f t="shared" si="1"/>
        <v>2024</v>
      </c>
    </row>
    <row r="39" spans="1:10" x14ac:dyDescent="0.25">
      <c r="A39">
        <v>1038</v>
      </c>
      <c r="B39" s="1">
        <v>45354</v>
      </c>
      <c r="C39" t="s">
        <v>14</v>
      </c>
      <c r="D39" t="s">
        <v>9</v>
      </c>
      <c r="E39" t="s">
        <v>20</v>
      </c>
      <c r="F39">
        <v>305</v>
      </c>
      <c r="G39">
        <v>1</v>
      </c>
      <c r="H39">
        <v>60</v>
      </c>
      <c r="I39" t="str">
        <f t="shared" si="0"/>
        <v>Mar</v>
      </c>
      <c r="J39">
        <f t="shared" si="1"/>
        <v>2024</v>
      </c>
    </row>
    <row r="40" spans="1:10" x14ac:dyDescent="0.25">
      <c r="A40">
        <v>1039</v>
      </c>
      <c r="B40" s="1">
        <v>45355</v>
      </c>
      <c r="C40" t="s">
        <v>11</v>
      </c>
      <c r="D40" t="s">
        <v>15</v>
      </c>
      <c r="E40" t="s">
        <v>21</v>
      </c>
      <c r="F40">
        <v>25</v>
      </c>
      <c r="G40">
        <v>7</v>
      </c>
      <c r="H40">
        <v>7</v>
      </c>
      <c r="I40" t="str">
        <f t="shared" si="0"/>
        <v>Mar</v>
      </c>
      <c r="J40">
        <f t="shared" si="1"/>
        <v>2024</v>
      </c>
    </row>
    <row r="41" spans="1:10" x14ac:dyDescent="0.25">
      <c r="A41">
        <v>1040</v>
      </c>
      <c r="B41" s="1">
        <v>45357</v>
      </c>
      <c r="C41" t="s">
        <v>17</v>
      </c>
      <c r="D41" t="s">
        <v>12</v>
      </c>
      <c r="E41" t="s">
        <v>22</v>
      </c>
      <c r="F41">
        <v>75</v>
      </c>
      <c r="G41">
        <v>2</v>
      </c>
      <c r="H41">
        <v>17</v>
      </c>
      <c r="I41" t="str">
        <f t="shared" si="0"/>
        <v>Mar</v>
      </c>
      <c r="J41">
        <f t="shared" si="1"/>
        <v>2024</v>
      </c>
    </row>
    <row r="42" spans="1:10" x14ac:dyDescent="0.25">
      <c r="A42">
        <v>1041</v>
      </c>
      <c r="B42" s="1">
        <v>45359</v>
      </c>
      <c r="C42" t="s">
        <v>8</v>
      </c>
      <c r="D42" t="s">
        <v>9</v>
      </c>
      <c r="E42" t="s">
        <v>10</v>
      </c>
      <c r="F42">
        <v>240</v>
      </c>
      <c r="G42">
        <v>2</v>
      </c>
      <c r="H42">
        <v>46</v>
      </c>
      <c r="I42" t="str">
        <f t="shared" si="0"/>
        <v>Mar</v>
      </c>
      <c r="J42">
        <f t="shared" si="1"/>
        <v>2024</v>
      </c>
    </row>
    <row r="43" spans="1:10" x14ac:dyDescent="0.25">
      <c r="A43">
        <v>1042</v>
      </c>
      <c r="B43" s="1">
        <v>45361</v>
      </c>
      <c r="C43" t="s">
        <v>11</v>
      </c>
      <c r="D43" t="s">
        <v>12</v>
      </c>
      <c r="E43" t="s">
        <v>13</v>
      </c>
      <c r="F43">
        <v>820</v>
      </c>
      <c r="G43">
        <v>3</v>
      </c>
      <c r="H43">
        <v>220</v>
      </c>
      <c r="I43" t="str">
        <f t="shared" si="0"/>
        <v>Mar</v>
      </c>
      <c r="J43">
        <f t="shared" si="1"/>
        <v>2024</v>
      </c>
    </row>
    <row r="44" spans="1:10" x14ac:dyDescent="0.25">
      <c r="A44">
        <v>1043</v>
      </c>
      <c r="B44" s="1">
        <v>45362</v>
      </c>
      <c r="C44" t="s">
        <v>14</v>
      </c>
      <c r="D44" t="s">
        <v>15</v>
      </c>
      <c r="E44" t="s">
        <v>16</v>
      </c>
      <c r="F44">
        <v>36</v>
      </c>
      <c r="G44">
        <v>4</v>
      </c>
      <c r="H44">
        <v>7.5</v>
      </c>
      <c r="I44" t="str">
        <f t="shared" si="0"/>
        <v>Mar</v>
      </c>
      <c r="J44">
        <f t="shared" si="1"/>
        <v>2024</v>
      </c>
    </row>
    <row r="45" spans="1:10" x14ac:dyDescent="0.25">
      <c r="A45">
        <v>1044</v>
      </c>
      <c r="B45" s="1">
        <v>45363</v>
      </c>
      <c r="C45" t="s">
        <v>17</v>
      </c>
      <c r="D45" t="s">
        <v>9</v>
      </c>
      <c r="E45" t="s">
        <v>18</v>
      </c>
      <c r="F45">
        <v>515</v>
      </c>
      <c r="G45">
        <v>1</v>
      </c>
      <c r="H45">
        <v>-30</v>
      </c>
      <c r="I45" t="str">
        <f t="shared" si="0"/>
        <v>Mar</v>
      </c>
      <c r="J45">
        <f t="shared" si="1"/>
        <v>2024</v>
      </c>
    </row>
    <row r="46" spans="1:10" x14ac:dyDescent="0.25">
      <c r="A46">
        <v>1045</v>
      </c>
      <c r="B46" s="1">
        <v>45364</v>
      </c>
      <c r="C46" t="s">
        <v>8</v>
      </c>
      <c r="D46" t="s">
        <v>12</v>
      </c>
      <c r="E46" t="s">
        <v>19</v>
      </c>
      <c r="F46">
        <v>1380</v>
      </c>
      <c r="G46">
        <v>1</v>
      </c>
      <c r="H46">
        <v>355</v>
      </c>
      <c r="I46" t="str">
        <f t="shared" si="0"/>
        <v>Mar</v>
      </c>
      <c r="J46">
        <f t="shared" si="1"/>
        <v>2024</v>
      </c>
    </row>
    <row r="47" spans="1:10" x14ac:dyDescent="0.25">
      <c r="A47">
        <v>1046</v>
      </c>
      <c r="B47" s="1">
        <v>45365</v>
      </c>
      <c r="C47" t="s">
        <v>14</v>
      </c>
      <c r="D47" t="s">
        <v>9</v>
      </c>
      <c r="E47" t="s">
        <v>20</v>
      </c>
      <c r="F47">
        <v>298</v>
      </c>
      <c r="G47">
        <v>1</v>
      </c>
      <c r="H47">
        <v>59</v>
      </c>
      <c r="I47" t="str">
        <f t="shared" si="0"/>
        <v>Mar</v>
      </c>
      <c r="J47">
        <f t="shared" si="1"/>
        <v>2024</v>
      </c>
    </row>
    <row r="48" spans="1:10" x14ac:dyDescent="0.25">
      <c r="A48">
        <v>1047</v>
      </c>
      <c r="B48" s="1">
        <v>45366</v>
      </c>
      <c r="C48" t="s">
        <v>11</v>
      </c>
      <c r="D48" t="s">
        <v>15</v>
      </c>
      <c r="E48" t="s">
        <v>21</v>
      </c>
      <c r="F48">
        <v>21</v>
      </c>
      <c r="G48">
        <v>5</v>
      </c>
      <c r="H48">
        <v>5</v>
      </c>
      <c r="I48" t="str">
        <f t="shared" si="0"/>
        <v>Mar</v>
      </c>
      <c r="J48">
        <f t="shared" si="1"/>
        <v>2024</v>
      </c>
    </row>
    <row r="49" spans="1:10" x14ac:dyDescent="0.25">
      <c r="A49">
        <v>1048</v>
      </c>
      <c r="B49" s="1">
        <v>45368</v>
      </c>
      <c r="C49" t="s">
        <v>17</v>
      </c>
      <c r="D49" t="s">
        <v>12</v>
      </c>
      <c r="E49" t="s">
        <v>22</v>
      </c>
      <c r="F49">
        <v>70</v>
      </c>
      <c r="G49">
        <v>2</v>
      </c>
      <c r="H49">
        <v>15.5</v>
      </c>
      <c r="I49" t="str">
        <f t="shared" si="0"/>
        <v>Mar</v>
      </c>
      <c r="J49">
        <f t="shared" si="1"/>
        <v>2024</v>
      </c>
    </row>
    <row r="50" spans="1:10" x14ac:dyDescent="0.25">
      <c r="A50">
        <v>1049</v>
      </c>
      <c r="B50" s="1">
        <v>45369</v>
      </c>
      <c r="C50" t="s">
        <v>8</v>
      </c>
      <c r="D50" t="s">
        <v>9</v>
      </c>
      <c r="E50" t="s">
        <v>10</v>
      </c>
      <c r="F50">
        <v>210</v>
      </c>
      <c r="G50">
        <v>2</v>
      </c>
      <c r="H50">
        <v>43</v>
      </c>
      <c r="I50" t="str">
        <f t="shared" si="0"/>
        <v>Mar</v>
      </c>
      <c r="J50">
        <f t="shared" si="1"/>
        <v>2024</v>
      </c>
    </row>
    <row r="51" spans="1:10" x14ac:dyDescent="0.25">
      <c r="A51">
        <v>1050</v>
      </c>
      <c r="B51" s="1">
        <v>45371</v>
      </c>
      <c r="C51" t="s">
        <v>11</v>
      </c>
      <c r="D51" t="s">
        <v>12</v>
      </c>
      <c r="E51" t="s">
        <v>13</v>
      </c>
      <c r="F51">
        <v>900</v>
      </c>
      <c r="G51">
        <v>3</v>
      </c>
      <c r="H51">
        <v>240</v>
      </c>
      <c r="I51" t="str">
        <f t="shared" si="0"/>
        <v>Mar</v>
      </c>
      <c r="J51">
        <f t="shared" si="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7977B-F1A0-4660-ABBA-662321775078}">
  <dimension ref="A1:H4"/>
  <sheetViews>
    <sheetView showGridLines="0" tabSelected="1" workbookViewId="0">
      <selection activeCell="B3" sqref="B3"/>
    </sheetView>
  </sheetViews>
  <sheetFormatPr defaultRowHeight="15" x14ac:dyDescent="0.25"/>
  <cols>
    <col min="1" max="1" width="9.140625" style="7"/>
    <col min="2" max="2" width="17" style="7" bestFit="1" customWidth="1"/>
    <col min="3" max="3" width="16.85546875" style="7" bestFit="1" customWidth="1"/>
    <col min="4" max="4" width="19.5703125" style="7" bestFit="1" customWidth="1"/>
    <col min="5" max="16384" width="9.140625" style="7"/>
  </cols>
  <sheetData>
    <row r="1" spans="1:8" ht="31.5" x14ac:dyDescent="0.5">
      <c r="A1" s="9" t="s">
        <v>33</v>
      </c>
      <c r="B1" s="9"/>
      <c r="C1" s="9"/>
      <c r="D1" s="9"/>
      <c r="E1" s="9"/>
      <c r="F1" s="9"/>
      <c r="G1" s="9"/>
      <c r="H1" s="9"/>
    </row>
    <row r="3" spans="1:8" ht="24" x14ac:dyDescent="0.4">
      <c r="B3" s="5">
        <f>GETPIVOTDATA("Sum of Sales", PT_Region!$A$3)</f>
        <v>21253.8</v>
      </c>
      <c r="C3" s="5">
        <f>GETPIVOTDATA("Sum of Profit", PT_Region!$A$3)</f>
        <v>4381.7000000000007</v>
      </c>
      <c r="D3" s="6">
        <f>C3/B3</f>
        <v>0.20616078066039958</v>
      </c>
    </row>
    <row r="4" spans="1:8" x14ac:dyDescent="0.25">
      <c r="B4" s="8" t="s">
        <v>34</v>
      </c>
      <c r="C4" s="8" t="s">
        <v>35</v>
      </c>
      <c r="D4" s="8" t="s">
        <v>36</v>
      </c>
    </row>
  </sheetData>
  <mergeCells count="1">
    <mergeCell ref="A1:H1"/>
  </mergeCells>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90C2B-602B-4E0D-B111-61A7CEB633F9}">
  <dimension ref="A3:C8"/>
  <sheetViews>
    <sheetView workbookViewId="0">
      <selection activeCell="E8" sqref="E8"/>
    </sheetView>
  </sheetViews>
  <sheetFormatPr defaultRowHeight="15" x14ac:dyDescent="0.25"/>
  <cols>
    <col min="1" max="1" width="13.42578125" bestFit="1" customWidth="1"/>
    <col min="2" max="2" width="12.5703125" bestFit="1" customWidth="1"/>
    <col min="3" max="3" width="12.7109375" bestFit="1" customWidth="1"/>
  </cols>
  <sheetData>
    <row r="3" spans="1:3" x14ac:dyDescent="0.25">
      <c r="A3" s="2" t="s">
        <v>25</v>
      </c>
      <c r="B3" t="s">
        <v>27</v>
      </c>
      <c r="C3" t="s">
        <v>28</v>
      </c>
    </row>
    <row r="4" spans="1:3" x14ac:dyDescent="0.25">
      <c r="A4" s="3" t="s">
        <v>17</v>
      </c>
      <c r="B4" s="4">
        <v>3345</v>
      </c>
      <c r="C4" s="4">
        <v>-107.5</v>
      </c>
    </row>
    <row r="5" spans="1:3" x14ac:dyDescent="0.25">
      <c r="A5" s="3" t="s">
        <v>8</v>
      </c>
      <c r="B5" s="4">
        <v>9853.5</v>
      </c>
      <c r="C5" s="4">
        <v>2480</v>
      </c>
    </row>
    <row r="6" spans="1:3" x14ac:dyDescent="0.25">
      <c r="A6" s="3" t="s">
        <v>14</v>
      </c>
      <c r="B6" s="4">
        <v>2019.8</v>
      </c>
      <c r="C6" s="4">
        <v>406.3</v>
      </c>
    </row>
    <row r="7" spans="1:3" x14ac:dyDescent="0.25">
      <c r="A7" s="3" t="s">
        <v>11</v>
      </c>
      <c r="B7" s="4">
        <v>6035.5</v>
      </c>
      <c r="C7" s="4">
        <v>1602.9</v>
      </c>
    </row>
    <row r="8" spans="1:3" x14ac:dyDescent="0.25">
      <c r="A8" s="3" t="s">
        <v>26</v>
      </c>
      <c r="B8" s="4">
        <v>21253.8</v>
      </c>
      <c r="C8" s="4">
        <v>4381.7000000000007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25B11-F4A5-420B-A045-A4CD04AA452F}">
  <dimension ref="A3:C7"/>
  <sheetViews>
    <sheetView workbookViewId="0">
      <selection activeCell="E8" sqref="E8"/>
    </sheetView>
  </sheetViews>
  <sheetFormatPr defaultRowHeight="15" x14ac:dyDescent="0.25"/>
  <cols>
    <col min="1" max="1" width="14.28515625" bestFit="1" customWidth="1"/>
    <col min="2" max="2" width="12.5703125" bestFit="1" customWidth="1"/>
    <col min="3" max="3" width="12.7109375" bestFit="1" customWidth="1"/>
  </cols>
  <sheetData>
    <row r="3" spans="1:3" x14ac:dyDescent="0.25">
      <c r="A3" s="2" t="s">
        <v>25</v>
      </c>
      <c r="B3" t="s">
        <v>27</v>
      </c>
      <c r="C3" t="s">
        <v>28</v>
      </c>
    </row>
    <row r="4" spans="1:3" x14ac:dyDescent="0.25">
      <c r="A4" s="3" t="s">
        <v>9</v>
      </c>
      <c r="B4" s="4">
        <v>6266.5</v>
      </c>
      <c r="C4" s="4">
        <v>456</v>
      </c>
    </row>
    <row r="5" spans="1:3" x14ac:dyDescent="0.25">
      <c r="A5" s="3" t="s">
        <v>15</v>
      </c>
      <c r="B5" s="4">
        <v>357.3</v>
      </c>
      <c r="C5" s="4">
        <v>85.2</v>
      </c>
    </row>
    <row r="6" spans="1:3" x14ac:dyDescent="0.25">
      <c r="A6" s="3" t="s">
        <v>12</v>
      </c>
      <c r="B6" s="4">
        <v>14630</v>
      </c>
      <c r="C6" s="4">
        <v>3840.5</v>
      </c>
    </row>
    <row r="7" spans="1:3" x14ac:dyDescent="0.25">
      <c r="A7" s="3" t="s">
        <v>26</v>
      </c>
      <c r="B7" s="4">
        <v>21253.8</v>
      </c>
      <c r="C7" s="4">
        <v>4381.7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51EF-6D95-4545-AC47-6265765F3E69}">
  <dimension ref="A1:B7"/>
  <sheetViews>
    <sheetView workbookViewId="0">
      <selection activeCell="D6" sqref="D6"/>
    </sheetView>
  </sheetViews>
  <sheetFormatPr defaultRowHeight="15" x14ac:dyDescent="0.25"/>
  <cols>
    <col min="1" max="1" width="13.42578125" bestFit="1" customWidth="1"/>
    <col min="2" max="2" width="12.5703125" bestFit="1" customWidth="1"/>
  </cols>
  <sheetData>
    <row r="1" spans="1:2" x14ac:dyDescent="0.25">
      <c r="A1" s="2" t="s">
        <v>24</v>
      </c>
      <c r="B1" t="s">
        <v>32</v>
      </c>
    </row>
    <row r="3" spans="1:2" x14ac:dyDescent="0.25">
      <c r="A3" s="2" t="s">
        <v>25</v>
      </c>
      <c r="B3" t="s">
        <v>27</v>
      </c>
    </row>
    <row r="4" spans="1:2" x14ac:dyDescent="0.25">
      <c r="A4" s="3" t="s">
        <v>29</v>
      </c>
      <c r="B4" s="4">
        <v>6521.8</v>
      </c>
    </row>
    <row r="5" spans="1:2" x14ac:dyDescent="0.25">
      <c r="A5" s="3" t="s">
        <v>30</v>
      </c>
      <c r="B5" s="4">
        <v>7797</v>
      </c>
    </row>
    <row r="6" spans="1:2" x14ac:dyDescent="0.25">
      <c r="A6" s="3" t="s">
        <v>31</v>
      </c>
      <c r="B6" s="4">
        <v>6935</v>
      </c>
    </row>
    <row r="7" spans="1:2" x14ac:dyDescent="0.25">
      <c r="A7" s="3" t="s">
        <v>26</v>
      </c>
      <c r="B7" s="4">
        <v>21253.8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RetailSalesData</vt:lpstr>
      <vt:lpstr>Dashboard</vt:lpstr>
      <vt:lpstr>PT_Region</vt:lpstr>
      <vt:lpstr>PT_Category</vt:lpstr>
      <vt:lpstr>PT_Month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Sahro Haji</dc:creator>
  <cp:lastModifiedBy>Sahro Haji</cp:lastModifiedBy>
  <dcterms:created xsi:type="dcterms:W3CDTF">2025-11-18T22:33:23Z</dcterms:created>
  <dcterms:modified xsi:type="dcterms:W3CDTF">2025-11-20T03:17:55Z</dcterms:modified>
</cp:coreProperties>
</file>